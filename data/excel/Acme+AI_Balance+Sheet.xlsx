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sstess2/Desktop/ai_takehome/"/>
    </mc:Choice>
  </mc:AlternateContent>
  <xr:revisionPtr revIDLastSave="0" documentId="13_ncr:1_{EEB68060-16BD-A740-AFB2-396DA9B09D04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Balance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5" i="1" l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C55" i="1"/>
  <c r="D55" i="1" s="1"/>
  <c r="E55" i="1" s="1"/>
  <c r="F54" i="1"/>
  <c r="B54" i="1"/>
  <c r="F53" i="1"/>
  <c r="G53" i="1" s="1"/>
  <c r="H53" i="1" s="1"/>
  <c r="I53" i="1" s="1"/>
  <c r="J53" i="1" s="1"/>
  <c r="K53" i="1" s="1"/>
  <c r="L53" i="1" s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D53" i="1"/>
  <c r="E53" i="1" s="1"/>
  <c r="C53" i="1"/>
  <c r="F52" i="1"/>
  <c r="G52" i="1" s="1"/>
  <c r="G54" i="1" s="1"/>
  <c r="D52" i="1"/>
  <c r="D54" i="1" s="1"/>
  <c r="C52" i="1"/>
  <c r="C54" i="1" s="1"/>
  <c r="D51" i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C51" i="1"/>
  <c r="B50" i="1"/>
  <c r="B56" i="1" s="1"/>
  <c r="B46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D45" i="1"/>
  <c r="E45" i="1" s="1"/>
  <c r="F45" i="1" s="1"/>
  <c r="G45" i="1" s="1"/>
  <c r="C45" i="1"/>
  <c r="K44" i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J44" i="1"/>
  <c r="I44" i="1"/>
  <c r="H44" i="1"/>
  <c r="G44" i="1"/>
  <c r="F44" i="1"/>
  <c r="C44" i="1"/>
  <c r="D44" i="1" s="1"/>
  <c r="E44" i="1" s="1"/>
  <c r="L43" i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K43" i="1"/>
  <c r="C43" i="1"/>
  <c r="D43" i="1" s="1"/>
  <c r="E43" i="1" s="1"/>
  <c r="F43" i="1" s="1"/>
  <c r="G43" i="1" s="1"/>
  <c r="H43" i="1" s="1"/>
  <c r="I43" i="1" s="1"/>
  <c r="J42" i="1"/>
  <c r="K42" i="1" s="1"/>
  <c r="I42" i="1"/>
  <c r="H42" i="1"/>
  <c r="G42" i="1"/>
  <c r="F42" i="1"/>
  <c r="C42" i="1"/>
  <c r="K41" i="1"/>
  <c r="L41" i="1" s="1"/>
  <c r="J41" i="1"/>
  <c r="I41" i="1"/>
  <c r="D41" i="1"/>
  <c r="C41" i="1"/>
  <c r="K39" i="1"/>
  <c r="I39" i="1"/>
  <c r="B39" i="1"/>
  <c r="K38" i="1"/>
  <c r="L38" i="1" s="1"/>
  <c r="L39" i="1" s="1"/>
  <c r="J38" i="1"/>
  <c r="J39" i="1" s="1"/>
  <c r="I38" i="1"/>
  <c r="H38" i="1"/>
  <c r="H39" i="1" s="1"/>
  <c r="G38" i="1"/>
  <c r="G39" i="1" s="1"/>
  <c r="F38" i="1"/>
  <c r="F39" i="1" s="1"/>
  <c r="C38" i="1"/>
  <c r="C39" i="1" s="1"/>
  <c r="J36" i="1"/>
  <c r="H36" i="1"/>
  <c r="B36" i="1"/>
  <c r="B47" i="1" s="1"/>
  <c r="B48" i="1" s="1"/>
  <c r="J35" i="1"/>
  <c r="K35" i="1" s="1"/>
  <c r="K36" i="1" s="1"/>
  <c r="I35" i="1"/>
  <c r="I36" i="1" s="1"/>
  <c r="H35" i="1"/>
  <c r="G35" i="1"/>
  <c r="G36" i="1" s="1"/>
  <c r="C35" i="1"/>
  <c r="D35" i="1" s="1"/>
  <c r="E35" i="1" s="1"/>
  <c r="E36" i="1" s="1"/>
  <c r="B28" i="1"/>
  <c r="J27" i="1"/>
  <c r="K27" i="1" s="1"/>
  <c r="L27" i="1" s="1"/>
  <c r="M27" i="1" s="1"/>
  <c r="N27" i="1" s="1"/>
  <c r="O27" i="1" s="1"/>
  <c r="P27" i="1" s="1"/>
  <c r="Q27" i="1" s="1"/>
  <c r="R27" i="1" s="1"/>
  <c r="S27" i="1" s="1"/>
  <c r="T27" i="1" s="1"/>
  <c r="U27" i="1" s="1"/>
  <c r="V27" i="1" s="1"/>
  <c r="C27" i="1"/>
  <c r="D27" i="1" s="1"/>
  <c r="E27" i="1" s="1"/>
  <c r="F27" i="1" s="1"/>
  <c r="G27" i="1" s="1"/>
  <c r="H27" i="1" s="1"/>
  <c r="I27" i="1" s="1"/>
  <c r="S26" i="1"/>
  <c r="T26" i="1" s="1"/>
  <c r="U26" i="1" s="1"/>
  <c r="V26" i="1" s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C26" i="1"/>
  <c r="D26" i="1" s="1"/>
  <c r="E26" i="1" s="1"/>
  <c r="J25" i="1"/>
  <c r="K25" i="1" s="1"/>
  <c r="L25" i="1" s="1"/>
  <c r="M25" i="1" s="1"/>
  <c r="N25" i="1" s="1"/>
  <c r="O25" i="1" s="1"/>
  <c r="P25" i="1" s="1"/>
  <c r="Q25" i="1" s="1"/>
  <c r="R25" i="1" s="1"/>
  <c r="S25" i="1" s="1"/>
  <c r="T25" i="1" s="1"/>
  <c r="U25" i="1" s="1"/>
  <c r="V25" i="1" s="1"/>
  <c r="C25" i="1"/>
  <c r="D25" i="1" s="1"/>
  <c r="E25" i="1" s="1"/>
  <c r="F25" i="1" s="1"/>
  <c r="G25" i="1" s="1"/>
  <c r="H25" i="1" s="1"/>
  <c r="I25" i="1" s="1"/>
  <c r="V24" i="1"/>
  <c r="K24" i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J24" i="1"/>
  <c r="I24" i="1"/>
  <c r="H24" i="1"/>
  <c r="G24" i="1"/>
  <c r="F24" i="1"/>
  <c r="E24" i="1"/>
  <c r="C24" i="1"/>
  <c r="D24" i="1" s="1"/>
  <c r="I23" i="1"/>
  <c r="J23" i="1" s="1"/>
  <c r="H23" i="1"/>
  <c r="G23" i="1"/>
  <c r="C23" i="1"/>
  <c r="I21" i="1"/>
  <c r="H21" i="1"/>
  <c r="B21" i="1"/>
  <c r="J20" i="1"/>
  <c r="I20" i="1"/>
  <c r="H20" i="1"/>
  <c r="C20" i="1"/>
  <c r="D20" i="1" s="1"/>
  <c r="K17" i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C17" i="1"/>
  <c r="D17" i="1" s="1"/>
  <c r="E17" i="1" s="1"/>
  <c r="F17" i="1" s="1"/>
  <c r="G17" i="1" s="1"/>
  <c r="H17" i="1" s="1"/>
  <c r="I17" i="1" s="1"/>
  <c r="J17" i="1" s="1"/>
  <c r="K16" i="1"/>
  <c r="L16" i="1" s="1"/>
  <c r="M16" i="1" s="1"/>
  <c r="N16" i="1" s="1"/>
  <c r="O16" i="1" s="1"/>
  <c r="P16" i="1" s="1"/>
  <c r="Q16" i="1" s="1"/>
  <c r="R16" i="1" s="1"/>
  <c r="S16" i="1" s="1"/>
  <c r="T16" i="1" s="1"/>
  <c r="U16" i="1" s="1"/>
  <c r="V16" i="1" s="1"/>
  <c r="J16" i="1"/>
  <c r="C16" i="1"/>
  <c r="D16" i="1" s="1"/>
  <c r="E16" i="1" s="1"/>
  <c r="F16" i="1" s="1"/>
  <c r="G16" i="1" s="1"/>
  <c r="H16" i="1" s="1"/>
  <c r="I16" i="1" s="1"/>
  <c r="J15" i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 s="1"/>
  <c r="V15" i="1" s="1"/>
  <c r="C15" i="1"/>
  <c r="D15" i="1" s="1"/>
  <c r="E15" i="1" s="1"/>
  <c r="F15" i="1" s="1"/>
  <c r="G15" i="1" s="1"/>
  <c r="H15" i="1" s="1"/>
  <c r="I15" i="1" s="1"/>
  <c r="N14" i="1"/>
  <c r="O14" i="1" s="1"/>
  <c r="P14" i="1" s="1"/>
  <c r="Q14" i="1" s="1"/>
  <c r="R14" i="1" s="1"/>
  <c r="S14" i="1" s="1"/>
  <c r="T14" i="1" s="1"/>
  <c r="U14" i="1" s="1"/>
  <c r="V14" i="1" s="1"/>
  <c r="M14" i="1"/>
  <c r="J14" i="1"/>
  <c r="K14" i="1" s="1"/>
  <c r="L14" i="1" s="1"/>
  <c r="I14" i="1"/>
  <c r="H14" i="1"/>
  <c r="G14" i="1"/>
  <c r="C14" i="1"/>
  <c r="D14" i="1" s="1"/>
  <c r="E14" i="1" s="1"/>
  <c r="F14" i="1" s="1"/>
  <c r="M13" i="1"/>
  <c r="N13" i="1" s="1"/>
  <c r="O13" i="1" s="1"/>
  <c r="P13" i="1" s="1"/>
  <c r="Q13" i="1" s="1"/>
  <c r="R13" i="1" s="1"/>
  <c r="S13" i="1" s="1"/>
  <c r="T13" i="1" s="1"/>
  <c r="U13" i="1" s="1"/>
  <c r="V13" i="1" s="1"/>
  <c r="L13" i="1"/>
  <c r="K13" i="1"/>
  <c r="J13" i="1"/>
  <c r="H13" i="1"/>
  <c r="I13" i="1" s="1"/>
  <c r="G13" i="1"/>
  <c r="F13" i="1"/>
  <c r="C13" i="1"/>
  <c r="D13" i="1" s="1"/>
  <c r="E13" i="1" s="1"/>
  <c r="K12" i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J12" i="1"/>
  <c r="I12" i="1"/>
  <c r="H12" i="1"/>
  <c r="G12" i="1"/>
  <c r="F12" i="1"/>
  <c r="B12" i="1"/>
  <c r="C12" i="1" s="1"/>
  <c r="D12" i="1" s="1"/>
  <c r="E12" i="1" s="1"/>
  <c r="J11" i="1"/>
  <c r="K11" i="1" s="1"/>
  <c r="L11" i="1" s="1"/>
  <c r="I11" i="1"/>
  <c r="E11" i="1"/>
  <c r="F11" i="1" s="1"/>
  <c r="G11" i="1" s="1"/>
  <c r="H11" i="1" s="1"/>
  <c r="D11" i="1"/>
  <c r="C11" i="1"/>
  <c r="K10" i="1"/>
  <c r="L10" i="1" s="1"/>
  <c r="M10" i="1" s="1"/>
  <c r="N10" i="1" s="1"/>
  <c r="O10" i="1" s="1"/>
  <c r="P10" i="1" s="1"/>
  <c r="Q10" i="1" s="1"/>
  <c r="R10" i="1" s="1"/>
  <c r="S10" i="1" s="1"/>
  <c r="T10" i="1" s="1"/>
  <c r="U10" i="1" s="1"/>
  <c r="V10" i="1" s="1"/>
  <c r="C10" i="1"/>
  <c r="D10" i="1" s="1"/>
  <c r="E10" i="1" s="1"/>
  <c r="F10" i="1" s="1"/>
  <c r="G10" i="1" s="1"/>
  <c r="H10" i="1" s="1"/>
  <c r="L9" i="1"/>
  <c r="M9" i="1" s="1"/>
  <c r="K9" i="1"/>
  <c r="J9" i="1"/>
  <c r="I9" i="1"/>
  <c r="H9" i="1"/>
  <c r="G9" i="1"/>
  <c r="C9" i="1"/>
  <c r="N9" i="1" l="1"/>
  <c r="G28" i="1"/>
  <c r="J43" i="1"/>
  <c r="J46" i="1" s="1"/>
  <c r="I46" i="1"/>
  <c r="I47" i="1" s="1"/>
  <c r="I48" i="1" s="1"/>
  <c r="L42" i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K46" i="1"/>
  <c r="B57" i="1"/>
  <c r="J28" i="1"/>
  <c r="K23" i="1"/>
  <c r="M11" i="1"/>
  <c r="N11" i="1" s="1"/>
  <c r="O11" i="1" s="1"/>
  <c r="P11" i="1" s="1"/>
  <c r="Q11" i="1" s="1"/>
  <c r="R11" i="1" s="1"/>
  <c r="S11" i="1" s="1"/>
  <c r="T11" i="1" s="1"/>
  <c r="U11" i="1" s="1"/>
  <c r="V11" i="1" s="1"/>
  <c r="L18" i="1"/>
  <c r="C18" i="1"/>
  <c r="C29" i="1" s="1"/>
  <c r="C30" i="1" s="1"/>
  <c r="D9" i="1"/>
  <c r="G18" i="1"/>
  <c r="J21" i="1"/>
  <c r="K20" i="1"/>
  <c r="M41" i="1"/>
  <c r="L46" i="1"/>
  <c r="I10" i="1"/>
  <c r="H18" i="1"/>
  <c r="J47" i="1"/>
  <c r="J48" i="1" s="1"/>
  <c r="D21" i="1"/>
  <c r="E20" i="1"/>
  <c r="K47" i="1"/>
  <c r="K48" i="1" s="1"/>
  <c r="H28" i="1"/>
  <c r="D38" i="1"/>
  <c r="D46" i="1"/>
  <c r="C46" i="1"/>
  <c r="D42" i="1"/>
  <c r="E42" i="1" s="1"/>
  <c r="F35" i="1"/>
  <c r="F36" i="1" s="1"/>
  <c r="D36" i="1"/>
  <c r="E41" i="1"/>
  <c r="K18" i="1"/>
  <c r="C50" i="1"/>
  <c r="E52" i="1"/>
  <c r="E54" i="1" s="1"/>
  <c r="I28" i="1"/>
  <c r="B18" i="1"/>
  <c r="B29" i="1" s="1"/>
  <c r="B30" i="1" s="1"/>
  <c r="C21" i="1"/>
  <c r="L35" i="1"/>
  <c r="H52" i="1"/>
  <c r="C28" i="1"/>
  <c r="M38" i="1"/>
  <c r="C36" i="1"/>
  <c r="D23" i="1"/>
  <c r="D18" i="1" l="1"/>
  <c r="E9" i="1"/>
  <c r="M39" i="1"/>
  <c r="N38" i="1"/>
  <c r="F20" i="1"/>
  <c r="E21" i="1"/>
  <c r="K28" i="1"/>
  <c r="L23" i="1"/>
  <c r="E38" i="1"/>
  <c r="E39" i="1" s="1"/>
  <c r="D39" i="1"/>
  <c r="D47" i="1" s="1"/>
  <c r="D48" i="1" s="1"/>
  <c r="L36" i="1"/>
  <c r="L47" i="1" s="1"/>
  <c r="L48" i="1" s="1"/>
  <c r="M35" i="1"/>
  <c r="E46" i="1"/>
  <c r="F41" i="1"/>
  <c r="K21" i="1"/>
  <c r="L20" i="1"/>
  <c r="D28" i="1"/>
  <c r="E23" i="1"/>
  <c r="I52" i="1"/>
  <c r="H54" i="1"/>
  <c r="H29" i="1"/>
  <c r="H30" i="1" s="1"/>
  <c r="J10" i="1"/>
  <c r="J18" i="1" s="1"/>
  <c r="J29" i="1" s="1"/>
  <c r="J30" i="1" s="1"/>
  <c r="I18" i="1"/>
  <c r="I29" i="1" s="1"/>
  <c r="I30" i="1" s="1"/>
  <c r="D50" i="1"/>
  <c r="C56" i="1"/>
  <c r="K29" i="1"/>
  <c r="K30" i="1" s="1"/>
  <c r="M46" i="1"/>
  <c r="N41" i="1"/>
  <c r="M18" i="1"/>
  <c r="C47" i="1"/>
  <c r="C48" i="1" s="1"/>
  <c r="O9" i="1"/>
  <c r="N18" i="1"/>
  <c r="F46" i="1" l="1"/>
  <c r="F47" i="1" s="1"/>
  <c r="F48" i="1" s="1"/>
  <c r="G41" i="1"/>
  <c r="P9" i="1"/>
  <c r="O18" i="1"/>
  <c r="M23" i="1"/>
  <c r="L28" i="1"/>
  <c r="J52" i="1"/>
  <c r="I54" i="1"/>
  <c r="G20" i="1"/>
  <c r="G21" i="1" s="1"/>
  <c r="G29" i="1" s="1"/>
  <c r="G30" i="1" s="1"/>
  <c r="F21" i="1"/>
  <c r="C57" i="1"/>
  <c r="D29" i="1"/>
  <c r="D30" i="1" s="1"/>
  <c r="E50" i="1"/>
  <c r="D56" i="1"/>
  <c r="D57" i="1" s="1"/>
  <c r="M36" i="1"/>
  <c r="M47" i="1" s="1"/>
  <c r="M48" i="1" s="1"/>
  <c r="N35" i="1"/>
  <c r="E47" i="1"/>
  <c r="E48" i="1" s="1"/>
  <c r="E28" i="1"/>
  <c r="F23" i="1"/>
  <c r="F28" i="1" s="1"/>
  <c r="N39" i="1"/>
  <c r="O38" i="1"/>
  <c r="E18" i="1"/>
  <c r="E29" i="1" s="1"/>
  <c r="E30" i="1" s="1"/>
  <c r="F9" i="1"/>
  <c r="F18" i="1" s="1"/>
  <c r="F29" i="1" s="1"/>
  <c r="F30" i="1" s="1"/>
  <c r="L21" i="1"/>
  <c r="L29" i="1" s="1"/>
  <c r="L30" i="1" s="1"/>
  <c r="M20" i="1"/>
  <c r="N46" i="1"/>
  <c r="O41" i="1"/>
  <c r="O46" i="1" l="1"/>
  <c r="P41" i="1"/>
  <c r="N23" i="1"/>
  <c r="M28" i="1"/>
  <c r="E56" i="1"/>
  <c r="F50" i="1"/>
  <c r="M21" i="1"/>
  <c r="M29" i="1" s="1"/>
  <c r="M30" i="1" s="1"/>
  <c r="N20" i="1"/>
  <c r="O39" i="1"/>
  <c r="P38" i="1"/>
  <c r="E57" i="1"/>
  <c r="J54" i="1"/>
  <c r="K52" i="1"/>
  <c r="Q9" i="1"/>
  <c r="P18" i="1"/>
  <c r="N36" i="1"/>
  <c r="N47" i="1" s="1"/>
  <c r="N48" i="1" s="1"/>
  <c r="O35" i="1"/>
  <c r="H41" i="1"/>
  <c r="H46" i="1" s="1"/>
  <c r="H47" i="1" s="1"/>
  <c r="H48" i="1" s="1"/>
  <c r="G46" i="1"/>
  <c r="G47" i="1" s="1"/>
  <c r="G48" i="1" s="1"/>
  <c r="F56" i="1" l="1"/>
  <c r="F57" i="1" s="1"/>
  <c r="G50" i="1"/>
  <c r="R9" i="1"/>
  <c r="Q18" i="1"/>
  <c r="Q38" i="1"/>
  <c r="P39" i="1"/>
  <c r="N21" i="1"/>
  <c r="O20" i="1"/>
  <c r="L52" i="1"/>
  <c r="K54" i="1"/>
  <c r="O36" i="1"/>
  <c r="O47" i="1" s="1"/>
  <c r="O48" i="1" s="1"/>
  <c r="P35" i="1"/>
  <c r="N28" i="1"/>
  <c r="O23" i="1"/>
  <c r="Q41" i="1"/>
  <c r="P46" i="1"/>
  <c r="P36" i="1" l="1"/>
  <c r="P47" i="1" s="1"/>
  <c r="P48" i="1" s="1"/>
  <c r="Q35" i="1"/>
  <c r="O21" i="1"/>
  <c r="O29" i="1" s="1"/>
  <c r="O30" i="1" s="1"/>
  <c r="P20" i="1"/>
  <c r="M52" i="1"/>
  <c r="L54" i="1"/>
  <c r="N29" i="1"/>
  <c r="N30" i="1" s="1"/>
  <c r="R38" i="1"/>
  <c r="Q39" i="1"/>
  <c r="R18" i="1"/>
  <c r="S9" i="1"/>
  <c r="R41" i="1"/>
  <c r="Q46" i="1"/>
  <c r="G56" i="1"/>
  <c r="G57" i="1" s="1"/>
  <c r="H50" i="1"/>
  <c r="P23" i="1"/>
  <c r="O28" i="1"/>
  <c r="S41" i="1" l="1"/>
  <c r="R46" i="1"/>
  <c r="S18" i="1"/>
  <c r="T9" i="1"/>
  <c r="R39" i="1"/>
  <c r="S38" i="1"/>
  <c r="M54" i="1"/>
  <c r="N52" i="1"/>
  <c r="Q20" i="1"/>
  <c r="P21" i="1"/>
  <c r="P28" i="1"/>
  <c r="Q23" i="1"/>
  <c r="Q36" i="1"/>
  <c r="Q47" i="1" s="1"/>
  <c r="Q48" i="1" s="1"/>
  <c r="R35" i="1"/>
  <c r="H56" i="1"/>
  <c r="H57" i="1" s="1"/>
  <c r="I50" i="1"/>
  <c r="S35" i="1" l="1"/>
  <c r="R36" i="1"/>
  <c r="R47" i="1" s="1"/>
  <c r="R48" i="1" s="1"/>
  <c r="Q21" i="1"/>
  <c r="R20" i="1"/>
  <c r="N54" i="1"/>
  <c r="O52" i="1"/>
  <c r="T38" i="1"/>
  <c r="S39" i="1"/>
  <c r="T18" i="1"/>
  <c r="U9" i="1"/>
  <c r="I56" i="1"/>
  <c r="I57" i="1" s="1"/>
  <c r="J50" i="1"/>
  <c r="R23" i="1"/>
  <c r="Q28" i="1"/>
  <c r="P29" i="1"/>
  <c r="P30" i="1" s="1"/>
  <c r="S46" i="1"/>
  <c r="T41" i="1"/>
  <c r="J56" i="1" l="1"/>
  <c r="J57" i="1" s="1"/>
  <c r="K50" i="1"/>
  <c r="S23" i="1"/>
  <c r="R28" i="1"/>
  <c r="R21" i="1"/>
  <c r="R29" i="1" s="1"/>
  <c r="R30" i="1" s="1"/>
  <c r="S20" i="1"/>
  <c r="U18" i="1"/>
  <c r="V9" i="1"/>
  <c r="V18" i="1" s="1"/>
  <c r="T39" i="1"/>
  <c r="U38" i="1"/>
  <c r="P52" i="1"/>
  <c r="O54" i="1"/>
  <c r="Q29" i="1"/>
  <c r="Q30" i="1" s="1"/>
  <c r="T46" i="1"/>
  <c r="U41" i="1"/>
  <c r="T35" i="1"/>
  <c r="S36" i="1"/>
  <c r="S47" i="1" s="1"/>
  <c r="S48" i="1" s="1"/>
  <c r="U46" i="1" l="1"/>
  <c r="V41" i="1"/>
  <c r="V46" i="1" s="1"/>
  <c r="P54" i="1"/>
  <c r="Q52" i="1"/>
  <c r="U39" i="1"/>
  <c r="V38" i="1"/>
  <c r="V39" i="1" s="1"/>
  <c r="S28" i="1"/>
  <c r="T23" i="1"/>
  <c r="U35" i="1"/>
  <c r="T36" i="1"/>
  <c r="T47" i="1" s="1"/>
  <c r="T48" i="1" s="1"/>
  <c r="K56" i="1"/>
  <c r="K57" i="1" s="1"/>
  <c r="L50" i="1"/>
  <c r="T20" i="1"/>
  <c r="S21" i="1"/>
  <c r="S29" i="1" s="1"/>
  <c r="S30" i="1" s="1"/>
  <c r="M50" i="1" l="1"/>
  <c r="L56" i="1"/>
  <c r="L57" i="1" s="1"/>
  <c r="T21" i="1"/>
  <c r="U20" i="1"/>
  <c r="U23" i="1"/>
  <c r="T28" i="1"/>
  <c r="U36" i="1"/>
  <c r="U47" i="1" s="1"/>
  <c r="U48" i="1" s="1"/>
  <c r="V35" i="1"/>
  <c r="V36" i="1" s="1"/>
  <c r="V47" i="1" s="1"/>
  <c r="V48" i="1" s="1"/>
  <c r="Q54" i="1"/>
  <c r="R52" i="1"/>
  <c r="S52" i="1" l="1"/>
  <c r="R54" i="1"/>
  <c r="V23" i="1"/>
  <c r="V28" i="1" s="1"/>
  <c r="U28" i="1"/>
  <c r="V20" i="1"/>
  <c r="V21" i="1" s="1"/>
  <c r="V29" i="1" s="1"/>
  <c r="V30" i="1" s="1"/>
  <c r="U21" i="1"/>
  <c r="U29" i="1" s="1"/>
  <c r="U30" i="1" s="1"/>
  <c r="T29" i="1"/>
  <c r="T30" i="1" s="1"/>
  <c r="N50" i="1"/>
  <c r="M56" i="1"/>
  <c r="M57" i="1" s="1"/>
  <c r="O50" i="1" l="1"/>
  <c r="N56" i="1"/>
  <c r="N57" i="1" s="1"/>
  <c r="S54" i="1"/>
  <c r="T52" i="1"/>
  <c r="T54" i="1" l="1"/>
  <c r="U52" i="1"/>
  <c r="P50" i="1"/>
  <c r="O56" i="1"/>
  <c r="O57" i="1" s="1"/>
  <c r="P56" i="1" l="1"/>
  <c r="P57" i="1" s="1"/>
  <c r="Q50" i="1"/>
  <c r="V52" i="1"/>
  <c r="V54" i="1" s="1"/>
  <c r="U54" i="1"/>
  <c r="Q56" i="1" l="1"/>
  <c r="Q57" i="1" s="1"/>
  <c r="R50" i="1"/>
  <c r="R56" i="1" l="1"/>
  <c r="R57" i="1" s="1"/>
  <c r="S50" i="1"/>
  <c r="T50" i="1" l="1"/>
  <c r="S56" i="1"/>
  <c r="S57" i="1" s="1"/>
  <c r="U50" i="1" l="1"/>
  <c r="T56" i="1"/>
  <c r="T57" i="1" s="1"/>
  <c r="U56" i="1" l="1"/>
  <c r="U57" i="1" s="1"/>
  <c r="V50" i="1"/>
  <c r="V56" i="1" s="1"/>
  <c r="V57" i="1" s="1"/>
</calcChain>
</file>

<file path=xl/sharedStrings.xml><?xml version="1.0" encoding="utf-8"?>
<sst xmlns="http://schemas.openxmlformats.org/spreadsheetml/2006/main" count="77" uniqueCount="77">
  <si>
    <t>Jun 14-30,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</si>
  <si>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</si>
  <si>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</si>
  <si>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</si>
  <si>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</si>
  <si>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</si>
  <si>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</si>
  <si>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</si>
  <si>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</si>
  <si>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</si>
  <si>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</si>
  <si>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</si>
  <si>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</si>
  <si>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</si>
  <si>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</si>
  <si>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</si>
  <si>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</si>
  <si>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</si>
  <si>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</si>
  <si>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</si>
  <si>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</si>
  <si>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ASSETS</t>
  </si>
  <si>
    <t xml:space="preserve">   Current Assets</t>
  </si>
  <si>
    <t xml:space="preserve">      Bank Accounts</t>
  </si>
  <si>
    <t xml:space="preserve">         Bill Payments Clearing</t>
  </si>
  <si>
    <t xml:space="preserve">         Gusto Clearing</t>
  </si>
  <si>
    <t xml:space="preserve">         Invoice Payments Clearing</t>
  </si>
  <si>
    <t xml:space="preserve">         Mercury Checking (7545)</t>
  </si>
  <si>
    <t xml:space="preserve">         Mercury Savings (9705)</t>
  </si>
  <si>
    <t xml:space="preserve">         Mercury Treasury</t>
  </si>
  <si>
    <t xml:space="preserve">         Stripe Clearing</t>
  </si>
  <si>
    <t xml:space="preserve">         Stripe Merchant Account</t>
  </si>
  <si>
    <t xml:space="preserve">         Wise Clearing</t>
  </si>
  <si>
    <t xml:space="preserve">      Total Bank Accounts</t>
  </si>
  <si>
    <t xml:space="preserve">      Accounts Receivable</t>
  </si>
  <si>
    <t xml:space="preserve">         Accounts Receivable</t>
  </si>
  <si>
    <t xml:space="preserve">      Total Accounts Receivable</t>
  </si>
  <si>
    <t xml:space="preserve">      Other Current Assets</t>
  </si>
  <si>
    <t xml:space="preserve">         Accrued Revenue</t>
  </si>
  <si>
    <t xml:space="preserve">         Money In Transit</t>
  </si>
  <si>
    <t xml:space="preserve">         Payment Processor Clearing - Stripe</t>
  </si>
  <si>
    <t xml:space="preserve">         Prepaid Expenses</t>
  </si>
  <si>
    <t xml:space="preserve">         Stripe Receivables</t>
  </si>
  <si>
    <t xml:space="preserve">      Total Other Current Assets</t>
  </si>
  <si>
    <t xml:space="preserve">   Total Current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</si>
  <si>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</si>
  <si>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</si>
  <si>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</si>
  <si>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</si>
  <si>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Accounts Payable</t>
  </si>
  <si>
    <t xml:space="preserve">            Accounts Payable</t>
  </si>
  <si>
    <t xml:space="preserve">         Total Accounts Payable</t>
  </si>
  <si>
    <t xml:space="preserve">         Credit Cards</t>
  </si>
  <si>
    <t xml:space="preserve">            Mercury Credit Cards</t>
  </si>
  <si>
    <t xml:space="preserve">         Total Credit Cards</t>
  </si>
  <si>
    <t xml:space="preserve">         Other Current Liabilities</t>
  </si>
  <si>
    <t xml:space="preserve">            401(K) Liability</t>
  </si>
  <si>
    <t xml:space="preserve">            Accrued Expenses</t>
  </si>
  <si>
    <t xml:space="preserve">            Gusto Benefit Liabilities Clearing</t>
  </si>
  <si>
    <t xml:space="preserve">            Payroll Liability</t>
  </si>
  <si>
    <t xml:space="preserve">            Unearned Revenue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</si>
  <si>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</si>
  <si>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</si>
  <si>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</si>
  <si>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</si>
  <si>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Common Stock</t>
  </si>
  <si>
    <t xml:space="preserve">      Retained Earnings</t>
  </si>
  <si>
    <t xml:space="preserve">      Series Seed</t>
  </si>
  <si>
    <t xml:space="preserve">         Cost of Financing - Series Seed</t>
  </si>
  <si>
    <t xml:space="preserve">      Total Series Seed</t>
  </si>
  <si>
    <t xml:space="preserve">      Net Income</t>
  </si>
  <si>
    <t xml:space="preserve">   Total Equity</t>
  </si>
  <si>
    <t>TOTAL LIABILITIES AND EQUITY</t>
  </si>
  <si>
    <t>Sunday, Mar 30, 2025 09:43:32 PM GMT-7 - Accrual Basis</t>
  </si>
  <si>
    <t>Balance Sheet</t>
  </si>
  <si>
    <t>All Dates</t>
  </si>
  <si>
    <t>Acme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</si>
</sst>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_€"/>
    <numFmt numFmtId="165" formatCode="&quot;$&quot;* #,##0.00\ _€"/>
  </numFmts>
  <fonts count="6" x14ac:knownFonts="1">
    <font>
      <sz val="11"/>
      <color indexed="8"/>
      <name val="Aptos Narrow"/>
      <family val="2"/>
      <scheme val="minor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wrapText="1"/>
    </xf>
    <xf numFmtId="164" fontId="3" fillId="0" borderId="0" xfId="0" applyNumberFormat="1" applyFont="1" applyAlignment="1">
      <alignment wrapText="1"/>
    </xf>
    <xf numFmtId="164" fontId="3" fillId="0" borderId="0" xfId="0" applyNumberFormat="1" applyFont="1" applyAlignment="1">
      <alignment horizontal="right" wrapText="1"/>
    </xf>
    <xf numFmtId="165" fontId="2" fillId="0" borderId="2" xfId="0" applyNumberFormat="1" applyFont="1" applyBorder="1" applyAlignment="1">
      <alignment horizontal="right" wrapText="1"/>
    </xf>
    <xf numFmtId="165" fontId="2" fillId="0" borderId="3" xfId="0" applyNumberFormat="1" applyFont="1" applyBorder="1" applyAlignment="1">
      <alignment horizontal="right" wrapText="1"/>
    </xf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1"/>
  <sheetViews>
    <sheetView tabSelected="1" workbookViewId="0">
      <selection activeCell="A2" sqref="A2:V2"/>
    </sheetView>
  </sheetViews>
  <sheetFormatPr baseColWidth="10" defaultColWidth="8.83203125" defaultRowHeight="15" x14ac:dyDescent="0.2"/>
  <cols>
    <col min="1" max="1" width="40.33203125" customWidth="1"/>
    <col min="2" max="5" width="7.6640625" customWidth="1"/>
    <col min="6" max="22" width="12" customWidth="1"/>
  </cols>
  <sheetData>
    <row r="1" spans="1:22" ht="18" x14ac:dyDescent="0.2">
      <c r="A1" s="10" t="s">
        <v>76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22" ht="18" x14ac:dyDescent="0.2">
      <c r="A2" s="10" t="s">
        <v>74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spans="1:22" x14ac:dyDescent="0.2">
      <c r="A3" s="11" t="s">
        <v>75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5" spans="1:22" ht="27" x14ac:dyDescent="0.2">
      <c r="A5" s="1"/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11</v>
      </c>
      <c r="N5" s="2" t="s">
        <v>12</v>
      </c>
      <c r="O5" s="2" t="s">
        <v>13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19</v>
      </c>
      <c r="V5" s="2" t="s">
        <v>20</v>
      </c>
    </row>
    <row r="6" spans="1:22" x14ac:dyDescent="0.2">
      <c r="A6" s="3" t="s">
        <v>21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spans="1:22" x14ac:dyDescent="0.2">
      <c r="A7" s="3" t="s">
        <v>22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spans="1:22" x14ac:dyDescent="0.2">
      <c r="A8" s="3" t="s">
        <v>23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</row>
    <row r="9" spans="1:22" x14ac:dyDescent="0.2">
      <c r="A9" s="3" t="s">
        <v>24</v>
      </c>
      <c r="B9" s="4"/>
      <c r="C9" s="5">
        <f t="shared" ref="C9:F11" si="0">B9</f>
        <v>0</v>
      </c>
      <c r="D9" s="5">
        <f t="shared" si="0"/>
        <v>0</v>
      </c>
      <c r="E9" s="5">
        <f t="shared" si="0"/>
        <v>0</v>
      </c>
      <c r="F9" s="5">
        <f t="shared" si="0"/>
        <v>0</v>
      </c>
      <c r="G9" s="5">
        <f>0</f>
        <v>0</v>
      </c>
      <c r="H9" s="5">
        <f>0</f>
        <v>0</v>
      </c>
      <c r="I9" s="5">
        <f>0</f>
        <v>0</v>
      </c>
      <c r="J9" s="5">
        <f>0</f>
        <v>0</v>
      </c>
      <c r="K9" s="5">
        <f>14755</f>
        <v>14755</v>
      </c>
      <c r="L9" s="5">
        <f t="shared" ref="L9:V9" si="1">K9</f>
        <v>14755</v>
      </c>
      <c r="M9" s="5">
        <f t="shared" si="1"/>
        <v>14755</v>
      </c>
      <c r="N9" s="5">
        <f t="shared" si="1"/>
        <v>14755</v>
      </c>
      <c r="O9" s="5">
        <f t="shared" si="1"/>
        <v>14755</v>
      </c>
      <c r="P9" s="5">
        <f t="shared" si="1"/>
        <v>14755</v>
      </c>
      <c r="Q9" s="5">
        <f t="shared" si="1"/>
        <v>14755</v>
      </c>
      <c r="R9" s="5">
        <f t="shared" si="1"/>
        <v>14755</v>
      </c>
      <c r="S9" s="5">
        <f t="shared" si="1"/>
        <v>14755</v>
      </c>
      <c r="T9" s="5">
        <f t="shared" si="1"/>
        <v>14755</v>
      </c>
      <c r="U9" s="5">
        <f t="shared" si="1"/>
        <v>14755</v>
      </c>
      <c r="V9" s="5">
        <f t="shared" si="1"/>
        <v>14755</v>
      </c>
    </row>
    <row r="10" spans="1:22" x14ac:dyDescent="0.2">
      <c r="A10" s="3" t="s">
        <v>25</v>
      </c>
      <c r="B10" s="4"/>
      <c r="C10" s="5">
        <f t="shared" si="0"/>
        <v>0</v>
      </c>
      <c r="D10" s="5">
        <f t="shared" si="0"/>
        <v>0</v>
      </c>
      <c r="E10" s="5">
        <f t="shared" si="0"/>
        <v>0</v>
      </c>
      <c r="F10" s="5">
        <f t="shared" si="0"/>
        <v>0</v>
      </c>
      <c r="G10" s="5">
        <f>F10</f>
        <v>0</v>
      </c>
      <c r="H10" s="5">
        <f>G10</f>
        <v>0</v>
      </c>
      <c r="I10" s="5">
        <f>H10</f>
        <v>0</v>
      </c>
      <c r="J10" s="5">
        <f>I10</f>
        <v>0</v>
      </c>
      <c r="K10" s="5">
        <f>-25721.79</f>
        <v>-25721.79</v>
      </c>
      <c r="L10" s="5">
        <f t="shared" ref="L10:V10" si="2">K10</f>
        <v>-25721.79</v>
      </c>
      <c r="M10" s="5">
        <f t="shared" si="2"/>
        <v>-25721.79</v>
      </c>
      <c r="N10" s="5">
        <f t="shared" si="2"/>
        <v>-25721.79</v>
      </c>
      <c r="O10" s="5">
        <f t="shared" si="2"/>
        <v>-25721.79</v>
      </c>
      <c r="P10" s="5">
        <f t="shared" si="2"/>
        <v>-25721.79</v>
      </c>
      <c r="Q10" s="5">
        <f t="shared" si="2"/>
        <v>-25721.79</v>
      </c>
      <c r="R10" s="5">
        <f t="shared" si="2"/>
        <v>-25721.79</v>
      </c>
      <c r="S10" s="5">
        <f t="shared" si="2"/>
        <v>-25721.79</v>
      </c>
      <c r="T10" s="5">
        <f t="shared" si="2"/>
        <v>-25721.79</v>
      </c>
      <c r="U10" s="5">
        <f t="shared" si="2"/>
        <v>-25721.79</v>
      </c>
      <c r="V10" s="5">
        <f t="shared" si="2"/>
        <v>-25721.79</v>
      </c>
    </row>
    <row r="11" spans="1:22" x14ac:dyDescent="0.2">
      <c r="A11" s="3" t="s">
        <v>26</v>
      </c>
      <c r="B11" s="4"/>
      <c r="C11" s="5">
        <f t="shared" si="0"/>
        <v>0</v>
      </c>
      <c r="D11" s="5">
        <f t="shared" si="0"/>
        <v>0</v>
      </c>
      <c r="E11" s="5">
        <f t="shared" si="0"/>
        <v>0</v>
      </c>
      <c r="F11" s="5">
        <f t="shared" si="0"/>
        <v>0</v>
      </c>
      <c r="G11" s="5">
        <f>F11</f>
        <v>0</v>
      </c>
      <c r="H11" s="5">
        <f>G11</f>
        <v>0</v>
      </c>
      <c r="I11" s="5">
        <f>0</f>
        <v>0</v>
      </c>
      <c r="J11" s="5">
        <f>I11</f>
        <v>0</v>
      </c>
      <c r="K11" s="5">
        <f>J11</f>
        <v>0</v>
      </c>
      <c r="L11" s="5">
        <f t="shared" ref="L11:V11" si="3">K11</f>
        <v>0</v>
      </c>
      <c r="M11" s="5">
        <f t="shared" si="3"/>
        <v>0</v>
      </c>
      <c r="N11" s="5">
        <f t="shared" si="3"/>
        <v>0</v>
      </c>
      <c r="O11" s="5">
        <f t="shared" si="3"/>
        <v>0</v>
      </c>
      <c r="P11" s="5">
        <f t="shared" si="3"/>
        <v>0</v>
      </c>
      <c r="Q11" s="5">
        <f t="shared" si="3"/>
        <v>0</v>
      </c>
      <c r="R11" s="5">
        <f t="shared" si="3"/>
        <v>0</v>
      </c>
      <c r="S11" s="5">
        <f t="shared" si="3"/>
        <v>0</v>
      </c>
      <c r="T11" s="5">
        <f t="shared" si="3"/>
        <v>0</v>
      </c>
      <c r="U11" s="5">
        <f t="shared" si="3"/>
        <v>0</v>
      </c>
      <c r="V11" s="5">
        <f t="shared" si="3"/>
        <v>0</v>
      </c>
    </row>
    <row r="12" spans="1:22" x14ac:dyDescent="0.2">
      <c r="A12" s="3" t="s">
        <v>27</v>
      </c>
      <c r="B12" s="5">
        <f>60</f>
        <v>60</v>
      </c>
      <c r="C12" s="5">
        <f t="shared" ref="C12:E17" si="4">B12</f>
        <v>60</v>
      </c>
      <c r="D12" s="5">
        <f t="shared" si="4"/>
        <v>60</v>
      </c>
      <c r="E12" s="5">
        <f t="shared" si="4"/>
        <v>60</v>
      </c>
      <c r="F12" s="5">
        <f>196324.26</f>
        <v>196324.26</v>
      </c>
      <c r="G12" s="5">
        <f>24504.09</f>
        <v>24504.09</v>
      </c>
      <c r="H12" s="5">
        <f>43495.53</f>
        <v>43495.53</v>
      </c>
      <c r="I12" s="5">
        <f>44871.07</f>
        <v>44871.07</v>
      </c>
      <c r="J12" s="5">
        <f>58979.5</f>
        <v>58979.5</v>
      </c>
      <c r="K12" s="5">
        <f>26755.56</f>
        <v>26755.56</v>
      </c>
      <c r="L12" s="5">
        <f t="shared" ref="L12:V12" si="5">K12</f>
        <v>26755.56</v>
      </c>
      <c r="M12" s="5">
        <f t="shared" si="5"/>
        <v>26755.56</v>
      </c>
      <c r="N12" s="5">
        <f t="shared" si="5"/>
        <v>26755.56</v>
      </c>
      <c r="O12" s="5">
        <f t="shared" si="5"/>
        <v>26755.56</v>
      </c>
      <c r="P12" s="5">
        <f t="shared" si="5"/>
        <v>26755.56</v>
      </c>
      <c r="Q12" s="5">
        <f t="shared" si="5"/>
        <v>26755.56</v>
      </c>
      <c r="R12" s="5">
        <f t="shared" si="5"/>
        <v>26755.56</v>
      </c>
      <c r="S12" s="5">
        <f t="shared" si="5"/>
        <v>26755.56</v>
      </c>
      <c r="T12" s="5">
        <f t="shared" si="5"/>
        <v>26755.56</v>
      </c>
      <c r="U12" s="5">
        <f t="shared" si="5"/>
        <v>26755.56</v>
      </c>
      <c r="V12" s="5">
        <f t="shared" si="5"/>
        <v>26755.56</v>
      </c>
    </row>
    <row r="13" spans="1:22" x14ac:dyDescent="0.2">
      <c r="A13" s="3" t="s">
        <v>28</v>
      </c>
      <c r="B13" s="4"/>
      <c r="C13" s="5">
        <f t="shared" si="4"/>
        <v>0</v>
      </c>
      <c r="D13" s="5">
        <f t="shared" si="4"/>
        <v>0</v>
      </c>
      <c r="E13" s="5">
        <f t="shared" si="4"/>
        <v>0</v>
      </c>
      <c r="F13" s="5">
        <f>2000000</f>
        <v>2000000</v>
      </c>
      <c r="G13" s="5">
        <f>5044.74</f>
        <v>5044.74</v>
      </c>
      <c r="H13" s="5">
        <f>5045.11</f>
        <v>5045.1099999999997</v>
      </c>
      <c r="I13" s="5">
        <f>H13</f>
        <v>5045.1099999999997</v>
      </c>
      <c r="J13" s="5">
        <f>5521.75</f>
        <v>5521.75</v>
      </c>
      <c r="K13" s="5">
        <f>J13</f>
        <v>5521.75</v>
      </c>
      <c r="L13" s="5">
        <f t="shared" ref="L13:V13" si="6">K13</f>
        <v>5521.75</v>
      </c>
      <c r="M13" s="5">
        <f t="shared" si="6"/>
        <v>5521.75</v>
      </c>
      <c r="N13" s="5">
        <f t="shared" si="6"/>
        <v>5521.75</v>
      </c>
      <c r="O13" s="5">
        <f t="shared" si="6"/>
        <v>5521.75</v>
      </c>
      <c r="P13" s="5">
        <f t="shared" si="6"/>
        <v>5521.75</v>
      </c>
      <c r="Q13" s="5">
        <f t="shared" si="6"/>
        <v>5521.75</v>
      </c>
      <c r="R13" s="5">
        <f t="shared" si="6"/>
        <v>5521.75</v>
      </c>
      <c r="S13" s="5">
        <f t="shared" si="6"/>
        <v>5521.75</v>
      </c>
      <c r="T13" s="5">
        <f t="shared" si="6"/>
        <v>5521.75</v>
      </c>
      <c r="U13" s="5">
        <f t="shared" si="6"/>
        <v>5521.75</v>
      </c>
      <c r="V13" s="5">
        <f t="shared" si="6"/>
        <v>5521.75</v>
      </c>
    </row>
    <row r="14" spans="1:22" x14ac:dyDescent="0.2">
      <c r="A14" s="3" t="s">
        <v>29</v>
      </c>
      <c r="B14" s="4"/>
      <c r="C14" s="5">
        <f t="shared" si="4"/>
        <v>0</v>
      </c>
      <c r="D14" s="5">
        <f t="shared" si="4"/>
        <v>0</v>
      </c>
      <c r="E14" s="5">
        <f t="shared" si="4"/>
        <v>0</v>
      </c>
      <c r="F14" s="5">
        <f>E14</f>
        <v>0</v>
      </c>
      <c r="G14" s="5">
        <f>2025144.72</f>
        <v>2025144.72</v>
      </c>
      <c r="H14" s="5">
        <f>1946441.82</f>
        <v>1946441.82</v>
      </c>
      <c r="I14" s="5">
        <f>1916855.38</f>
        <v>1916855.38</v>
      </c>
      <c r="J14" s="5">
        <f>1848746.96</f>
        <v>1848746.96</v>
      </c>
      <c r="K14" s="5">
        <f>J14</f>
        <v>1848746.96</v>
      </c>
      <c r="L14" s="5">
        <f t="shared" ref="L14:V14" si="7">K14</f>
        <v>1848746.96</v>
      </c>
      <c r="M14" s="5">
        <f t="shared" si="7"/>
        <v>1848746.96</v>
      </c>
      <c r="N14" s="5">
        <f t="shared" si="7"/>
        <v>1848746.96</v>
      </c>
      <c r="O14" s="5">
        <f t="shared" si="7"/>
        <v>1848746.96</v>
      </c>
      <c r="P14" s="5">
        <f t="shared" si="7"/>
        <v>1848746.96</v>
      </c>
      <c r="Q14" s="5">
        <f t="shared" si="7"/>
        <v>1848746.96</v>
      </c>
      <c r="R14" s="5">
        <f t="shared" si="7"/>
        <v>1848746.96</v>
      </c>
      <c r="S14" s="5">
        <f t="shared" si="7"/>
        <v>1848746.96</v>
      </c>
      <c r="T14" s="5">
        <f t="shared" si="7"/>
        <v>1848746.96</v>
      </c>
      <c r="U14" s="5">
        <f t="shared" si="7"/>
        <v>1848746.96</v>
      </c>
      <c r="V14" s="5">
        <f t="shared" si="7"/>
        <v>1848746.96</v>
      </c>
    </row>
    <row r="15" spans="1:22" x14ac:dyDescent="0.2">
      <c r="A15" s="3" t="s">
        <v>30</v>
      </c>
      <c r="B15" s="4"/>
      <c r="C15" s="5">
        <f t="shared" si="4"/>
        <v>0</v>
      </c>
      <c r="D15" s="5">
        <f t="shared" si="4"/>
        <v>0</v>
      </c>
      <c r="E15" s="5">
        <f t="shared" si="4"/>
        <v>0</v>
      </c>
      <c r="F15" s="5">
        <f>E15</f>
        <v>0</v>
      </c>
      <c r="G15" s="5">
        <f t="shared" ref="G15:I17" si="8">F15</f>
        <v>0</v>
      </c>
      <c r="H15" s="5">
        <f t="shared" si="8"/>
        <v>0</v>
      </c>
      <c r="I15" s="5">
        <f t="shared" si="8"/>
        <v>0</v>
      </c>
      <c r="J15" s="5">
        <f>0</f>
        <v>0</v>
      </c>
      <c r="K15" s="5">
        <f>J15</f>
        <v>0</v>
      </c>
      <c r="L15" s="5">
        <f t="shared" ref="L15:V15" si="9">K15</f>
        <v>0</v>
      </c>
      <c r="M15" s="5">
        <f t="shared" si="9"/>
        <v>0</v>
      </c>
      <c r="N15" s="5">
        <f t="shared" si="9"/>
        <v>0</v>
      </c>
      <c r="O15" s="5">
        <f t="shared" si="9"/>
        <v>0</v>
      </c>
      <c r="P15" s="5">
        <f t="shared" si="9"/>
        <v>0</v>
      </c>
      <c r="Q15" s="5">
        <f t="shared" si="9"/>
        <v>0</v>
      </c>
      <c r="R15" s="5">
        <f t="shared" si="9"/>
        <v>0</v>
      </c>
      <c r="S15" s="5">
        <f t="shared" si="9"/>
        <v>0</v>
      </c>
      <c r="T15" s="5">
        <f t="shared" si="9"/>
        <v>0</v>
      </c>
      <c r="U15" s="5">
        <f t="shared" si="9"/>
        <v>0</v>
      </c>
      <c r="V15" s="5">
        <f t="shared" si="9"/>
        <v>0</v>
      </c>
    </row>
    <row r="16" spans="1:22" x14ac:dyDescent="0.2">
      <c r="A16" s="3" t="s">
        <v>31</v>
      </c>
      <c r="B16" s="4"/>
      <c r="C16" s="5">
        <f t="shared" si="4"/>
        <v>0</v>
      </c>
      <c r="D16" s="5">
        <f t="shared" si="4"/>
        <v>0</v>
      </c>
      <c r="E16" s="5">
        <f t="shared" si="4"/>
        <v>0</v>
      </c>
      <c r="F16" s="5">
        <f>E16</f>
        <v>0</v>
      </c>
      <c r="G16" s="5">
        <f t="shared" si="8"/>
        <v>0</v>
      </c>
      <c r="H16" s="5">
        <f t="shared" si="8"/>
        <v>0</v>
      </c>
      <c r="I16" s="5">
        <f t="shared" si="8"/>
        <v>0</v>
      </c>
      <c r="J16" s="5">
        <f>0</f>
        <v>0</v>
      </c>
      <c r="K16" s="5">
        <f>J16</f>
        <v>0</v>
      </c>
      <c r="L16" s="5">
        <f t="shared" ref="L16:V16" si="10">K16</f>
        <v>0</v>
      </c>
      <c r="M16" s="5">
        <f t="shared" si="10"/>
        <v>0</v>
      </c>
      <c r="N16" s="5">
        <f t="shared" si="10"/>
        <v>0</v>
      </c>
      <c r="O16" s="5">
        <f t="shared" si="10"/>
        <v>0</v>
      </c>
      <c r="P16" s="5">
        <f t="shared" si="10"/>
        <v>0</v>
      </c>
      <c r="Q16" s="5">
        <f t="shared" si="10"/>
        <v>0</v>
      </c>
      <c r="R16" s="5">
        <f t="shared" si="10"/>
        <v>0</v>
      </c>
      <c r="S16" s="5">
        <f t="shared" si="10"/>
        <v>0</v>
      </c>
      <c r="T16" s="5">
        <f t="shared" si="10"/>
        <v>0</v>
      </c>
      <c r="U16" s="5">
        <f t="shared" si="10"/>
        <v>0</v>
      </c>
      <c r="V16" s="5">
        <f t="shared" si="10"/>
        <v>0</v>
      </c>
    </row>
    <row r="17" spans="1:22" x14ac:dyDescent="0.2">
      <c r="A17" s="3" t="s">
        <v>32</v>
      </c>
      <c r="B17" s="4"/>
      <c r="C17" s="5">
        <f t="shared" si="4"/>
        <v>0</v>
      </c>
      <c r="D17" s="5">
        <f t="shared" si="4"/>
        <v>0</v>
      </c>
      <c r="E17" s="5">
        <f t="shared" si="4"/>
        <v>0</v>
      </c>
      <c r="F17" s="5">
        <f>E17</f>
        <v>0</v>
      </c>
      <c r="G17" s="5">
        <f t="shared" si="8"/>
        <v>0</v>
      </c>
      <c r="H17" s="5">
        <f t="shared" si="8"/>
        <v>0</v>
      </c>
      <c r="I17" s="5">
        <f t="shared" si="8"/>
        <v>0</v>
      </c>
      <c r="J17" s="5">
        <f>I17</f>
        <v>0</v>
      </c>
      <c r="K17" s="5">
        <f>20</f>
        <v>20</v>
      </c>
      <c r="L17" s="5">
        <f t="shared" ref="L17:V17" si="11">K17</f>
        <v>20</v>
      </c>
      <c r="M17" s="5">
        <f t="shared" si="11"/>
        <v>20</v>
      </c>
      <c r="N17" s="5">
        <f t="shared" si="11"/>
        <v>20</v>
      </c>
      <c r="O17" s="5">
        <f t="shared" si="11"/>
        <v>20</v>
      </c>
      <c r="P17" s="5">
        <f t="shared" si="11"/>
        <v>20</v>
      </c>
      <c r="Q17" s="5">
        <f t="shared" si="11"/>
        <v>20</v>
      </c>
      <c r="R17" s="5">
        <f t="shared" si="11"/>
        <v>20</v>
      </c>
      <c r="S17" s="5">
        <f t="shared" si="11"/>
        <v>20</v>
      </c>
      <c r="T17" s="5">
        <f t="shared" si="11"/>
        <v>20</v>
      </c>
      <c r="U17" s="5">
        <f t="shared" si="11"/>
        <v>20</v>
      </c>
      <c r="V17" s="5">
        <f t="shared" si="11"/>
        <v>20</v>
      </c>
    </row>
    <row r="18" spans="1:22" x14ac:dyDescent="0.2">
      <c r="A18" s="3" t="s">
        <v>33</v>
      </c>
      <c r="B18" s="6">
        <f t="shared" ref="B18:V18" si="12">((((((((B9)+(B10))+(B11))+(B12))+(B13))+(B14))+(B15))+(B16))+(B17)</f>
        <v>60</v>
      </c>
      <c r="C18" s="6">
        <f t="shared" si="12"/>
        <v>60</v>
      </c>
      <c r="D18" s="6">
        <f t="shared" si="12"/>
        <v>60</v>
      </c>
      <c r="E18" s="6">
        <f t="shared" si="12"/>
        <v>60</v>
      </c>
      <c r="F18" s="6">
        <f t="shared" si="12"/>
        <v>2196324.2599999998</v>
      </c>
      <c r="G18" s="6">
        <f t="shared" si="12"/>
        <v>2054693.55</v>
      </c>
      <c r="H18" s="6">
        <f t="shared" si="12"/>
        <v>1994982.46</v>
      </c>
      <c r="I18" s="6">
        <f t="shared" si="12"/>
        <v>1966771.5599999998</v>
      </c>
      <c r="J18" s="6">
        <f t="shared" si="12"/>
        <v>1913248.21</v>
      </c>
      <c r="K18" s="6">
        <f t="shared" si="12"/>
        <v>1870077.48</v>
      </c>
      <c r="L18" s="6">
        <f t="shared" si="12"/>
        <v>1870077.48</v>
      </c>
      <c r="M18" s="6">
        <f t="shared" si="12"/>
        <v>1870077.48</v>
      </c>
      <c r="N18" s="6">
        <f t="shared" si="12"/>
        <v>1870077.48</v>
      </c>
      <c r="O18" s="6">
        <f t="shared" si="12"/>
        <v>1870077.48</v>
      </c>
      <c r="P18" s="6">
        <f t="shared" si="12"/>
        <v>1870077.48</v>
      </c>
      <c r="Q18" s="6">
        <f t="shared" si="12"/>
        <v>1870077.48</v>
      </c>
      <c r="R18" s="6">
        <f t="shared" si="12"/>
        <v>1870077.48</v>
      </c>
      <c r="S18" s="6">
        <f t="shared" si="12"/>
        <v>1870077.48</v>
      </c>
      <c r="T18" s="6">
        <f t="shared" si="12"/>
        <v>1870077.48</v>
      </c>
      <c r="U18" s="6">
        <f t="shared" si="12"/>
        <v>1870077.48</v>
      </c>
      <c r="V18" s="6">
        <f t="shared" si="12"/>
        <v>1870077.48</v>
      </c>
    </row>
    <row r="19" spans="1:22" x14ac:dyDescent="0.2">
      <c r="A19" s="3" t="s">
        <v>34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spans="1:22" x14ac:dyDescent="0.2">
      <c r="A20" s="3" t="s">
        <v>35</v>
      </c>
      <c r="B20" s="4"/>
      <c r="C20" s="5">
        <f>B20</f>
        <v>0</v>
      </c>
      <c r="D20" s="5">
        <f>C20</f>
        <v>0</v>
      </c>
      <c r="E20" s="5">
        <f>D20</f>
        <v>0</v>
      </c>
      <c r="F20" s="5">
        <f>E20</f>
        <v>0</v>
      </c>
      <c r="G20" s="5">
        <f>F20</f>
        <v>0</v>
      </c>
      <c r="H20" s="5">
        <f>28417.35</f>
        <v>28417.35</v>
      </c>
      <c r="I20" s="5">
        <f>0</f>
        <v>0</v>
      </c>
      <c r="J20" s="5">
        <f t="shared" ref="J20:V20" si="13">I20</f>
        <v>0</v>
      </c>
      <c r="K20" s="5">
        <f t="shared" si="13"/>
        <v>0</v>
      </c>
      <c r="L20" s="5">
        <f t="shared" si="13"/>
        <v>0</v>
      </c>
      <c r="M20" s="5">
        <f t="shared" si="13"/>
        <v>0</v>
      </c>
      <c r="N20" s="5">
        <f t="shared" si="13"/>
        <v>0</v>
      </c>
      <c r="O20" s="5">
        <f t="shared" si="13"/>
        <v>0</v>
      </c>
      <c r="P20" s="5">
        <f t="shared" si="13"/>
        <v>0</v>
      </c>
      <c r="Q20" s="5">
        <f t="shared" si="13"/>
        <v>0</v>
      </c>
      <c r="R20" s="5">
        <f t="shared" si="13"/>
        <v>0</v>
      </c>
      <c r="S20" s="5">
        <f t="shared" si="13"/>
        <v>0</v>
      </c>
      <c r="T20" s="5">
        <f t="shared" si="13"/>
        <v>0</v>
      </c>
      <c r="U20" s="5">
        <f t="shared" si="13"/>
        <v>0</v>
      </c>
      <c r="V20" s="5">
        <f t="shared" si="13"/>
        <v>0</v>
      </c>
    </row>
    <row r="21" spans="1:22" x14ac:dyDescent="0.2">
      <c r="A21" s="3" t="s">
        <v>36</v>
      </c>
      <c r="B21" s="6">
        <f t="shared" ref="B21:V21" si="14">B20</f>
        <v>0</v>
      </c>
      <c r="C21" s="6">
        <f t="shared" si="14"/>
        <v>0</v>
      </c>
      <c r="D21" s="6">
        <f t="shared" si="14"/>
        <v>0</v>
      </c>
      <c r="E21" s="6">
        <f t="shared" si="14"/>
        <v>0</v>
      </c>
      <c r="F21" s="6">
        <f t="shared" si="14"/>
        <v>0</v>
      </c>
      <c r="G21" s="6">
        <f t="shared" si="14"/>
        <v>0</v>
      </c>
      <c r="H21" s="6">
        <f t="shared" si="14"/>
        <v>28417.35</v>
      </c>
      <c r="I21" s="6">
        <f t="shared" si="14"/>
        <v>0</v>
      </c>
      <c r="J21" s="6">
        <f t="shared" si="14"/>
        <v>0</v>
      </c>
      <c r="K21" s="6">
        <f t="shared" si="14"/>
        <v>0</v>
      </c>
      <c r="L21" s="6">
        <f t="shared" si="14"/>
        <v>0</v>
      </c>
      <c r="M21" s="6">
        <f t="shared" si="14"/>
        <v>0</v>
      </c>
      <c r="N21" s="6">
        <f t="shared" si="14"/>
        <v>0</v>
      </c>
      <c r="O21" s="6">
        <f t="shared" si="14"/>
        <v>0</v>
      </c>
      <c r="P21" s="6">
        <f t="shared" si="14"/>
        <v>0</v>
      </c>
      <c r="Q21" s="6">
        <f t="shared" si="14"/>
        <v>0</v>
      </c>
      <c r="R21" s="6">
        <f t="shared" si="14"/>
        <v>0</v>
      </c>
      <c r="S21" s="6">
        <f t="shared" si="14"/>
        <v>0</v>
      </c>
      <c r="T21" s="6">
        <f t="shared" si="14"/>
        <v>0</v>
      </c>
      <c r="U21" s="6">
        <f t="shared" si="14"/>
        <v>0</v>
      </c>
      <c r="V21" s="6">
        <f t="shared" si="14"/>
        <v>0</v>
      </c>
    </row>
    <row r="22" spans="1:22" x14ac:dyDescent="0.2">
      <c r="A22" s="3" t="s">
        <v>37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spans="1:22" x14ac:dyDescent="0.2">
      <c r="A23" s="3" t="s">
        <v>38</v>
      </c>
      <c r="B23" s="4"/>
      <c r="C23" s="5">
        <f>B23</f>
        <v>0</v>
      </c>
      <c r="D23" s="5">
        <f>C23</f>
        <v>0</v>
      </c>
      <c r="E23" s="5">
        <f>D23</f>
        <v>0</v>
      </c>
      <c r="F23" s="5">
        <f>E23</f>
        <v>0</v>
      </c>
      <c r="G23" s="5">
        <f>875.02</f>
        <v>875.02</v>
      </c>
      <c r="H23" s="5">
        <f>0</f>
        <v>0</v>
      </c>
      <c r="I23" s="5">
        <f t="shared" ref="I23:V23" si="15">H23</f>
        <v>0</v>
      </c>
      <c r="J23" s="5">
        <f t="shared" si="15"/>
        <v>0</v>
      </c>
      <c r="K23" s="5">
        <f t="shared" si="15"/>
        <v>0</v>
      </c>
      <c r="L23" s="5">
        <f t="shared" si="15"/>
        <v>0</v>
      </c>
      <c r="M23" s="5">
        <f t="shared" si="15"/>
        <v>0</v>
      </c>
      <c r="N23" s="5">
        <f t="shared" si="15"/>
        <v>0</v>
      </c>
      <c r="O23" s="5">
        <f t="shared" si="15"/>
        <v>0</v>
      </c>
      <c r="P23" s="5">
        <f t="shared" si="15"/>
        <v>0</v>
      </c>
      <c r="Q23" s="5">
        <f t="shared" si="15"/>
        <v>0</v>
      </c>
      <c r="R23" s="5">
        <f t="shared" si="15"/>
        <v>0</v>
      </c>
      <c r="S23" s="5">
        <f t="shared" si="15"/>
        <v>0</v>
      </c>
      <c r="T23" s="5">
        <f t="shared" si="15"/>
        <v>0</v>
      </c>
      <c r="U23" s="5">
        <f t="shared" si="15"/>
        <v>0</v>
      </c>
      <c r="V23" s="5">
        <f t="shared" si="15"/>
        <v>0</v>
      </c>
    </row>
    <row r="24" spans="1:22" x14ac:dyDescent="0.2">
      <c r="A24" s="3" t="s">
        <v>39</v>
      </c>
      <c r="B24" s="4"/>
      <c r="C24" s="5">
        <f t="shared" ref="C24:E27" si="16">B24</f>
        <v>0</v>
      </c>
      <c r="D24" s="5">
        <f t="shared" si="16"/>
        <v>0</v>
      </c>
      <c r="E24" s="5">
        <f t="shared" si="16"/>
        <v>0</v>
      </c>
      <c r="F24" s="5">
        <f>0</f>
        <v>0</v>
      </c>
      <c r="G24" s="5">
        <f>-9837.14</f>
        <v>-9837.14</v>
      </c>
      <c r="H24" s="5">
        <f>-1427.47</f>
        <v>-1427.47</v>
      </c>
      <c r="I24" s="5">
        <f>-3907.5</f>
        <v>-3907.5</v>
      </c>
      <c r="J24" s="5">
        <f>-1828.36</f>
        <v>-1828.36</v>
      </c>
      <c r="K24" s="5">
        <f>0</f>
        <v>0</v>
      </c>
      <c r="L24" s="5">
        <f t="shared" ref="L24:V24" si="17">K24</f>
        <v>0</v>
      </c>
      <c r="M24" s="5">
        <f t="shared" si="17"/>
        <v>0</v>
      </c>
      <c r="N24" s="5">
        <f t="shared" si="17"/>
        <v>0</v>
      </c>
      <c r="O24" s="5">
        <f t="shared" si="17"/>
        <v>0</v>
      </c>
      <c r="P24" s="5">
        <f t="shared" si="17"/>
        <v>0</v>
      </c>
      <c r="Q24" s="5">
        <f t="shared" si="17"/>
        <v>0</v>
      </c>
      <c r="R24" s="5">
        <f t="shared" si="17"/>
        <v>0</v>
      </c>
      <c r="S24" s="5">
        <f t="shared" si="17"/>
        <v>0</v>
      </c>
      <c r="T24" s="5">
        <f t="shared" si="17"/>
        <v>0</v>
      </c>
      <c r="U24" s="5">
        <f t="shared" si="17"/>
        <v>0</v>
      </c>
      <c r="V24" s="5">
        <f t="shared" si="17"/>
        <v>0</v>
      </c>
    </row>
    <row r="25" spans="1:22" x14ac:dyDescent="0.2">
      <c r="A25" s="3" t="s">
        <v>40</v>
      </c>
      <c r="B25" s="4"/>
      <c r="C25" s="5">
        <f t="shared" si="16"/>
        <v>0</v>
      </c>
      <c r="D25" s="5">
        <f t="shared" si="16"/>
        <v>0</v>
      </c>
      <c r="E25" s="5">
        <f t="shared" si="16"/>
        <v>0</v>
      </c>
      <c r="F25" s="5">
        <f>E25</f>
        <v>0</v>
      </c>
      <c r="G25" s="5">
        <f>F25</f>
        <v>0</v>
      </c>
      <c r="H25" s="5">
        <f>G25</f>
        <v>0</v>
      </c>
      <c r="I25" s="5">
        <f>H25</f>
        <v>0</v>
      </c>
      <c r="J25" s="5">
        <f>0</f>
        <v>0</v>
      </c>
      <c r="K25" s="5">
        <f>J25</f>
        <v>0</v>
      </c>
      <c r="L25" s="5">
        <f t="shared" ref="L25:V25" si="18">K25</f>
        <v>0</v>
      </c>
      <c r="M25" s="5">
        <f t="shared" si="18"/>
        <v>0</v>
      </c>
      <c r="N25" s="5">
        <f t="shared" si="18"/>
        <v>0</v>
      </c>
      <c r="O25" s="5">
        <f t="shared" si="18"/>
        <v>0</v>
      </c>
      <c r="P25" s="5">
        <f t="shared" si="18"/>
        <v>0</v>
      </c>
      <c r="Q25" s="5">
        <f t="shared" si="18"/>
        <v>0</v>
      </c>
      <c r="R25" s="5">
        <f t="shared" si="18"/>
        <v>0</v>
      </c>
      <c r="S25" s="5">
        <f t="shared" si="18"/>
        <v>0</v>
      </c>
      <c r="T25" s="5">
        <f t="shared" si="18"/>
        <v>0</v>
      </c>
      <c r="U25" s="5">
        <f t="shared" si="18"/>
        <v>0</v>
      </c>
      <c r="V25" s="5">
        <f t="shared" si="18"/>
        <v>0</v>
      </c>
    </row>
    <row r="26" spans="1:22" x14ac:dyDescent="0.2">
      <c r="A26" s="3" t="s">
        <v>41</v>
      </c>
      <c r="B26" s="4"/>
      <c r="C26" s="5">
        <f t="shared" si="16"/>
        <v>0</v>
      </c>
      <c r="D26" s="5">
        <f t="shared" si="16"/>
        <v>0</v>
      </c>
      <c r="E26" s="5">
        <f t="shared" si="16"/>
        <v>0</v>
      </c>
      <c r="F26" s="5">
        <f>2389.75</f>
        <v>2389.75</v>
      </c>
      <c r="G26" s="5">
        <f>4922.5</f>
        <v>4922.5</v>
      </c>
      <c r="H26" s="5">
        <f>4455.25</f>
        <v>4455.25</v>
      </c>
      <c r="I26" s="5">
        <f>6309.17</f>
        <v>6309.17</v>
      </c>
      <c r="J26" s="5">
        <f>5841.92</f>
        <v>5841.92</v>
      </c>
      <c r="K26" s="5">
        <f>3053.5</f>
        <v>3053.5</v>
      </c>
      <c r="L26" s="5">
        <f>2586.25</f>
        <v>2586.25</v>
      </c>
      <c r="M26" s="5">
        <f>2119</f>
        <v>2119</v>
      </c>
      <c r="N26" s="5">
        <f>1651.75</f>
        <v>1651.75</v>
      </c>
      <c r="O26" s="5">
        <f>1184.5</f>
        <v>1184.5</v>
      </c>
      <c r="P26" s="5">
        <f>717.25</f>
        <v>717.25</v>
      </c>
      <c r="Q26" s="5">
        <f>250</f>
        <v>250</v>
      </c>
      <c r="R26" s="5">
        <f>0</f>
        <v>0</v>
      </c>
      <c r="S26" s="5">
        <f t="shared" ref="S26:V27" si="19">R26</f>
        <v>0</v>
      </c>
      <c r="T26" s="5">
        <f t="shared" si="19"/>
        <v>0</v>
      </c>
      <c r="U26" s="5">
        <f t="shared" si="19"/>
        <v>0</v>
      </c>
      <c r="V26" s="5">
        <f t="shared" si="19"/>
        <v>0</v>
      </c>
    </row>
    <row r="27" spans="1:22" x14ac:dyDescent="0.2">
      <c r="A27" s="3" t="s">
        <v>42</v>
      </c>
      <c r="B27" s="4"/>
      <c r="C27" s="5">
        <f t="shared" si="16"/>
        <v>0</v>
      </c>
      <c r="D27" s="5">
        <f t="shared" si="16"/>
        <v>0</v>
      </c>
      <c r="E27" s="5">
        <f t="shared" si="16"/>
        <v>0</v>
      </c>
      <c r="F27" s="5">
        <f>E27</f>
        <v>0</v>
      </c>
      <c r="G27" s="5">
        <f>F27</f>
        <v>0</v>
      </c>
      <c r="H27" s="5">
        <f>G27</f>
        <v>0</v>
      </c>
      <c r="I27" s="5">
        <f>H27</f>
        <v>0</v>
      </c>
      <c r="J27" s="5">
        <f>600</f>
        <v>600</v>
      </c>
      <c r="K27" s="5">
        <f t="shared" ref="K27:R27" si="20">J27</f>
        <v>600</v>
      </c>
      <c r="L27" s="5">
        <f t="shared" si="20"/>
        <v>600</v>
      </c>
      <c r="M27" s="5">
        <f t="shared" si="20"/>
        <v>600</v>
      </c>
      <c r="N27" s="5">
        <f t="shared" si="20"/>
        <v>600</v>
      </c>
      <c r="O27" s="5">
        <f t="shared" si="20"/>
        <v>600</v>
      </c>
      <c r="P27" s="5">
        <f t="shared" si="20"/>
        <v>600</v>
      </c>
      <c r="Q27" s="5">
        <f t="shared" si="20"/>
        <v>600</v>
      </c>
      <c r="R27" s="5">
        <f t="shared" si="20"/>
        <v>600</v>
      </c>
      <c r="S27" s="5">
        <f t="shared" si="19"/>
        <v>600</v>
      </c>
      <c r="T27" s="5">
        <f t="shared" si="19"/>
        <v>600</v>
      </c>
      <c r="U27" s="5">
        <f t="shared" si="19"/>
        <v>600</v>
      </c>
      <c r="V27" s="5">
        <f t="shared" si="19"/>
        <v>600</v>
      </c>
    </row>
    <row r="28" spans="1:22" x14ac:dyDescent="0.2">
      <c r="A28" s="3" t="s">
        <v>43</v>
      </c>
      <c r="B28" s="6">
        <f t="shared" ref="B28:V28" si="21">((((B23)+(B24))+(B25))+(B26))+(B27)</f>
        <v>0</v>
      </c>
      <c r="C28" s="6">
        <f t="shared" si="21"/>
        <v>0</v>
      </c>
      <c r="D28" s="6">
        <f t="shared" si="21"/>
        <v>0</v>
      </c>
      <c r="E28" s="6">
        <f t="shared" si="21"/>
        <v>0</v>
      </c>
      <c r="F28" s="6">
        <f t="shared" si="21"/>
        <v>2389.75</v>
      </c>
      <c r="G28" s="6">
        <f t="shared" si="21"/>
        <v>-4039.619999999999</v>
      </c>
      <c r="H28" s="6">
        <f t="shared" si="21"/>
        <v>3027.7799999999997</v>
      </c>
      <c r="I28" s="6">
        <f t="shared" si="21"/>
        <v>2401.67</v>
      </c>
      <c r="J28" s="6">
        <f t="shared" si="21"/>
        <v>4613.5600000000004</v>
      </c>
      <c r="K28" s="6">
        <f t="shared" si="21"/>
        <v>3653.5</v>
      </c>
      <c r="L28" s="6">
        <f t="shared" si="21"/>
        <v>3186.25</v>
      </c>
      <c r="M28" s="6">
        <f t="shared" si="21"/>
        <v>2719</v>
      </c>
      <c r="N28" s="6">
        <f t="shared" si="21"/>
        <v>2251.75</v>
      </c>
      <c r="O28" s="6">
        <f t="shared" si="21"/>
        <v>1784.5</v>
      </c>
      <c r="P28" s="6">
        <f t="shared" si="21"/>
        <v>1317.25</v>
      </c>
      <c r="Q28" s="6">
        <f t="shared" si="21"/>
        <v>850</v>
      </c>
      <c r="R28" s="6">
        <f t="shared" si="21"/>
        <v>600</v>
      </c>
      <c r="S28" s="6">
        <f t="shared" si="21"/>
        <v>600</v>
      </c>
      <c r="T28" s="6">
        <f t="shared" si="21"/>
        <v>600</v>
      </c>
      <c r="U28" s="6">
        <f t="shared" si="21"/>
        <v>600</v>
      </c>
      <c r="V28" s="6">
        <f t="shared" si="21"/>
        <v>600</v>
      </c>
    </row>
    <row r="29" spans="1:22" x14ac:dyDescent="0.2">
      <c r="A29" s="3" t="s">
        <v>44</v>
      </c>
      <c r="B29" s="6">
        <f t="shared" ref="B29:V29" si="22">((B18)+(B21))+(B28)</f>
        <v>60</v>
      </c>
      <c r="C29" s="6">
        <f t="shared" si="22"/>
        <v>60</v>
      </c>
      <c r="D29" s="6">
        <f t="shared" si="22"/>
        <v>60</v>
      </c>
      <c r="E29" s="6">
        <f t="shared" si="22"/>
        <v>60</v>
      </c>
      <c r="F29" s="6">
        <f t="shared" si="22"/>
        <v>2198714.0099999998</v>
      </c>
      <c r="G29" s="6">
        <f t="shared" si="22"/>
        <v>2050653.93</v>
      </c>
      <c r="H29" s="6">
        <f t="shared" si="22"/>
        <v>2026427.59</v>
      </c>
      <c r="I29" s="6">
        <f t="shared" si="22"/>
        <v>1969173.2299999997</v>
      </c>
      <c r="J29" s="6">
        <f t="shared" si="22"/>
        <v>1917861.77</v>
      </c>
      <c r="K29" s="6">
        <f t="shared" si="22"/>
        <v>1873730.98</v>
      </c>
      <c r="L29" s="6">
        <f t="shared" si="22"/>
        <v>1873263.73</v>
      </c>
      <c r="M29" s="6">
        <f t="shared" si="22"/>
        <v>1872796.48</v>
      </c>
      <c r="N29" s="6">
        <f t="shared" si="22"/>
        <v>1872329.23</v>
      </c>
      <c r="O29" s="6">
        <f t="shared" si="22"/>
        <v>1871861.98</v>
      </c>
      <c r="P29" s="6">
        <f t="shared" si="22"/>
        <v>1871394.73</v>
      </c>
      <c r="Q29" s="6">
        <f t="shared" si="22"/>
        <v>1870927.48</v>
      </c>
      <c r="R29" s="6">
        <f t="shared" si="22"/>
        <v>1870677.48</v>
      </c>
      <c r="S29" s="6">
        <f t="shared" si="22"/>
        <v>1870677.48</v>
      </c>
      <c r="T29" s="6">
        <f t="shared" si="22"/>
        <v>1870677.48</v>
      </c>
      <c r="U29" s="6">
        <f t="shared" si="22"/>
        <v>1870677.48</v>
      </c>
      <c r="V29" s="6">
        <f t="shared" si="22"/>
        <v>1870677.48</v>
      </c>
    </row>
    <row r="30" spans="1:22" x14ac:dyDescent="0.2">
      <c r="A30" s="3" t="s">
        <v>45</v>
      </c>
      <c r="B30" s="7">
        <f t="shared" ref="B30:V30" si="23">B29</f>
        <v>60</v>
      </c>
      <c r="C30" s="7">
        <f t="shared" si="23"/>
        <v>60</v>
      </c>
      <c r="D30" s="7">
        <f t="shared" si="23"/>
        <v>60</v>
      </c>
      <c r="E30" s="7">
        <f t="shared" si="23"/>
        <v>60</v>
      </c>
      <c r="F30" s="7">
        <f t="shared" si="23"/>
        <v>2198714.0099999998</v>
      </c>
      <c r="G30" s="7">
        <f t="shared" si="23"/>
        <v>2050653.93</v>
      </c>
      <c r="H30" s="7">
        <f t="shared" si="23"/>
        <v>2026427.59</v>
      </c>
      <c r="I30" s="7">
        <f t="shared" si="23"/>
        <v>1969173.2299999997</v>
      </c>
      <c r="J30" s="7">
        <f t="shared" si="23"/>
        <v>1917861.77</v>
      </c>
      <c r="K30" s="7">
        <f t="shared" si="23"/>
        <v>1873730.98</v>
      </c>
      <c r="L30" s="7">
        <f t="shared" si="23"/>
        <v>1873263.73</v>
      </c>
      <c r="M30" s="7">
        <f t="shared" si="23"/>
        <v>1872796.48</v>
      </c>
      <c r="N30" s="7">
        <f t="shared" si="23"/>
        <v>1872329.23</v>
      </c>
      <c r="O30" s="7">
        <f t="shared" si="23"/>
        <v>1871861.98</v>
      </c>
      <c r="P30" s="7">
        <f t="shared" si="23"/>
        <v>1871394.73</v>
      </c>
      <c r="Q30" s="7">
        <f t="shared" si="23"/>
        <v>1870927.48</v>
      </c>
      <c r="R30" s="7">
        <f t="shared" si="23"/>
        <v>1870677.48</v>
      </c>
      <c r="S30" s="7">
        <f t="shared" si="23"/>
        <v>1870677.48</v>
      </c>
      <c r="T30" s="7">
        <f t="shared" si="23"/>
        <v>1870677.48</v>
      </c>
      <c r="U30" s="7">
        <f t="shared" si="23"/>
        <v>1870677.48</v>
      </c>
      <c r="V30" s="7">
        <f t="shared" si="23"/>
        <v>1870677.48</v>
      </c>
    </row>
    <row r="31" spans="1:22" x14ac:dyDescent="0.2">
      <c r="A31" s="3" t="s">
        <v>46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spans="1:22" x14ac:dyDescent="0.2">
      <c r="A32" s="3" t="s">
        <v>47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spans="1:22" x14ac:dyDescent="0.2">
      <c r="A33" s="3" t="s">
        <v>48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spans="1:22" x14ac:dyDescent="0.2">
      <c r="A34" s="3" t="s">
        <v>49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spans="1:22" x14ac:dyDescent="0.2">
      <c r="A35" s="3" t="s">
        <v>50</v>
      </c>
      <c r="B35" s="4"/>
      <c r="C35" s="5">
        <f>B35</f>
        <v>0</v>
      </c>
      <c r="D35" s="5">
        <f>C35</f>
        <v>0</v>
      </c>
      <c r="E35" s="5">
        <f>D35</f>
        <v>0</v>
      </c>
      <c r="F35" s="5">
        <f>E35</f>
        <v>0</v>
      </c>
      <c r="G35" s="5">
        <f>0</f>
        <v>0</v>
      </c>
      <c r="H35" s="5">
        <f>0</f>
        <v>0</v>
      </c>
      <c r="I35" s="5">
        <f>0</f>
        <v>0</v>
      </c>
      <c r="J35" s="5">
        <f>0</f>
        <v>0</v>
      </c>
      <c r="K35" s="5">
        <f t="shared" ref="K35:V35" si="24">J35</f>
        <v>0</v>
      </c>
      <c r="L35" s="5">
        <f t="shared" si="24"/>
        <v>0</v>
      </c>
      <c r="M35" s="5">
        <f t="shared" si="24"/>
        <v>0</v>
      </c>
      <c r="N35" s="5">
        <f t="shared" si="24"/>
        <v>0</v>
      </c>
      <c r="O35" s="5">
        <f t="shared" si="24"/>
        <v>0</v>
      </c>
      <c r="P35" s="5">
        <f t="shared" si="24"/>
        <v>0</v>
      </c>
      <c r="Q35" s="5">
        <f t="shared" si="24"/>
        <v>0</v>
      </c>
      <c r="R35" s="5">
        <f t="shared" si="24"/>
        <v>0</v>
      </c>
      <c r="S35" s="5">
        <f t="shared" si="24"/>
        <v>0</v>
      </c>
      <c r="T35" s="5">
        <f t="shared" si="24"/>
        <v>0</v>
      </c>
      <c r="U35" s="5">
        <f t="shared" si="24"/>
        <v>0</v>
      </c>
      <c r="V35" s="5">
        <f t="shared" si="24"/>
        <v>0</v>
      </c>
    </row>
    <row r="36" spans="1:22" x14ac:dyDescent="0.2">
      <c r="A36" s="3" t="s">
        <v>51</v>
      </c>
      <c r="B36" s="6">
        <f t="shared" ref="B36:V36" si="25">B35</f>
        <v>0</v>
      </c>
      <c r="C36" s="6">
        <f t="shared" si="25"/>
        <v>0</v>
      </c>
      <c r="D36" s="6">
        <f t="shared" si="25"/>
        <v>0</v>
      </c>
      <c r="E36" s="6">
        <f t="shared" si="25"/>
        <v>0</v>
      </c>
      <c r="F36" s="6">
        <f t="shared" si="25"/>
        <v>0</v>
      </c>
      <c r="G36" s="6">
        <f t="shared" si="25"/>
        <v>0</v>
      </c>
      <c r="H36" s="6">
        <f t="shared" si="25"/>
        <v>0</v>
      </c>
      <c r="I36" s="6">
        <f t="shared" si="25"/>
        <v>0</v>
      </c>
      <c r="J36" s="6">
        <f t="shared" si="25"/>
        <v>0</v>
      </c>
      <c r="K36" s="6">
        <f t="shared" si="25"/>
        <v>0</v>
      </c>
      <c r="L36" s="6">
        <f t="shared" si="25"/>
        <v>0</v>
      </c>
      <c r="M36" s="6">
        <f t="shared" si="25"/>
        <v>0</v>
      </c>
      <c r="N36" s="6">
        <f t="shared" si="25"/>
        <v>0</v>
      </c>
      <c r="O36" s="6">
        <f t="shared" si="25"/>
        <v>0</v>
      </c>
      <c r="P36" s="6">
        <f t="shared" si="25"/>
        <v>0</v>
      </c>
      <c r="Q36" s="6">
        <f t="shared" si="25"/>
        <v>0</v>
      </c>
      <c r="R36" s="6">
        <f t="shared" si="25"/>
        <v>0</v>
      </c>
      <c r="S36" s="6">
        <f t="shared" si="25"/>
        <v>0</v>
      </c>
      <c r="T36" s="6">
        <f t="shared" si="25"/>
        <v>0</v>
      </c>
      <c r="U36" s="6">
        <f t="shared" si="25"/>
        <v>0</v>
      </c>
      <c r="V36" s="6">
        <f t="shared" si="25"/>
        <v>0</v>
      </c>
    </row>
    <row r="37" spans="1:22" x14ac:dyDescent="0.2">
      <c r="A37" s="3" t="s">
        <v>52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spans="1:22" x14ac:dyDescent="0.2">
      <c r="A38" s="3" t="s">
        <v>53</v>
      </c>
      <c r="B38" s="4"/>
      <c r="C38" s="5">
        <f>B38</f>
        <v>0</v>
      </c>
      <c r="D38" s="5">
        <f>C38</f>
        <v>0</v>
      </c>
      <c r="E38" s="5">
        <f>D38</f>
        <v>0</v>
      </c>
      <c r="F38" s="5">
        <f>2668.9</f>
        <v>2668.9</v>
      </c>
      <c r="G38" s="5">
        <f>0</f>
        <v>0</v>
      </c>
      <c r="H38" s="5">
        <f>0</f>
        <v>0</v>
      </c>
      <c r="I38" s="5">
        <f>0</f>
        <v>0</v>
      </c>
      <c r="J38" s="5">
        <f>0</f>
        <v>0</v>
      </c>
      <c r="K38" s="5">
        <f>4426.95</f>
        <v>4426.95</v>
      </c>
      <c r="L38" s="5">
        <f t="shared" ref="L38:V38" si="26">K38</f>
        <v>4426.95</v>
      </c>
      <c r="M38" s="5">
        <f t="shared" si="26"/>
        <v>4426.95</v>
      </c>
      <c r="N38" s="5">
        <f t="shared" si="26"/>
        <v>4426.95</v>
      </c>
      <c r="O38" s="5">
        <f t="shared" si="26"/>
        <v>4426.95</v>
      </c>
      <c r="P38" s="5">
        <f t="shared" si="26"/>
        <v>4426.95</v>
      </c>
      <c r="Q38" s="5">
        <f t="shared" si="26"/>
        <v>4426.95</v>
      </c>
      <c r="R38" s="5">
        <f t="shared" si="26"/>
        <v>4426.95</v>
      </c>
      <c r="S38" s="5">
        <f t="shared" si="26"/>
        <v>4426.95</v>
      </c>
      <c r="T38" s="5">
        <f t="shared" si="26"/>
        <v>4426.95</v>
      </c>
      <c r="U38" s="5">
        <f t="shared" si="26"/>
        <v>4426.95</v>
      </c>
      <c r="V38" s="5">
        <f t="shared" si="26"/>
        <v>4426.95</v>
      </c>
    </row>
    <row r="39" spans="1:22" x14ac:dyDescent="0.2">
      <c r="A39" s="3" t="s">
        <v>54</v>
      </c>
      <c r="B39" s="6">
        <f t="shared" ref="B39:V39" si="27">B38</f>
        <v>0</v>
      </c>
      <c r="C39" s="6">
        <f t="shared" si="27"/>
        <v>0</v>
      </c>
      <c r="D39" s="6">
        <f t="shared" si="27"/>
        <v>0</v>
      </c>
      <c r="E39" s="6">
        <f t="shared" si="27"/>
        <v>0</v>
      </c>
      <c r="F39" s="6">
        <f t="shared" si="27"/>
        <v>2668.9</v>
      </c>
      <c r="G39" s="6">
        <f t="shared" si="27"/>
        <v>0</v>
      </c>
      <c r="H39" s="6">
        <f t="shared" si="27"/>
        <v>0</v>
      </c>
      <c r="I39" s="6">
        <f t="shared" si="27"/>
        <v>0</v>
      </c>
      <c r="J39" s="6">
        <f t="shared" si="27"/>
        <v>0</v>
      </c>
      <c r="K39" s="6">
        <f t="shared" si="27"/>
        <v>4426.95</v>
      </c>
      <c r="L39" s="6">
        <f t="shared" si="27"/>
        <v>4426.95</v>
      </c>
      <c r="M39" s="6">
        <f t="shared" si="27"/>
        <v>4426.95</v>
      </c>
      <c r="N39" s="6">
        <f t="shared" si="27"/>
        <v>4426.95</v>
      </c>
      <c r="O39" s="6">
        <f t="shared" si="27"/>
        <v>4426.95</v>
      </c>
      <c r="P39" s="6">
        <f t="shared" si="27"/>
        <v>4426.95</v>
      </c>
      <c r="Q39" s="6">
        <f t="shared" si="27"/>
        <v>4426.95</v>
      </c>
      <c r="R39" s="6">
        <f t="shared" si="27"/>
        <v>4426.95</v>
      </c>
      <c r="S39" s="6">
        <f t="shared" si="27"/>
        <v>4426.95</v>
      </c>
      <c r="T39" s="6">
        <f t="shared" si="27"/>
        <v>4426.95</v>
      </c>
      <c r="U39" s="6">
        <f t="shared" si="27"/>
        <v>4426.95</v>
      </c>
      <c r="V39" s="6">
        <f t="shared" si="27"/>
        <v>4426.95</v>
      </c>
    </row>
    <row r="40" spans="1:22" x14ac:dyDescent="0.2">
      <c r="A40" s="3" t="s">
        <v>55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spans="1:22" x14ac:dyDescent="0.2">
      <c r="A41" s="3" t="s">
        <v>56</v>
      </c>
      <c r="B41" s="4"/>
      <c r="C41" s="5">
        <f t="shared" ref="C41:H41" si="28">B41</f>
        <v>0</v>
      </c>
      <c r="D41" s="5">
        <f t="shared" si="28"/>
        <v>0</v>
      </c>
      <c r="E41" s="5">
        <f t="shared" si="28"/>
        <v>0</v>
      </c>
      <c r="F41" s="5">
        <f t="shared" si="28"/>
        <v>0</v>
      </c>
      <c r="G41" s="5">
        <f t="shared" si="28"/>
        <v>0</v>
      </c>
      <c r="H41" s="5">
        <f t="shared" si="28"/>
        <v>0</v>
      </c>
      <c r="I41" s="5">
        <f>2618.75</f>
        <v>2618.75</v>
      </c>
      <c r="J41" s="5">
        <f>2368.75</f>
        <v>2368.75</v>
      </c>
      <c r="K41" s="5">
        <f>2125</f>
        <v>2125</v>
      </c>
      <c r="L41" s="5">
        <f t="shared" ref="L41:V41" si="29">K41</f>
        <v>2125</v>
      </c>
      <c r="M41" s="5">
        <f t="shared" si="29"/>
        <v>2125</v>
      </c>
      <c r="N41" s="5">
        <f t="shared" si="29"/>
        <v>2125</v>
      </c>
      <c r="O41" s="5">
        <f t="shared" si="29"/>
        <v>2125</v>
      </c>
      <c r="P41" s="5">
        <f t="shared" si="29"/>
        <v>2125</v>
      </c>
      <c r="Q41" s="5">
        <f t="shared" si="29"/>
        <v>2125</v>
      </c>
      <c r="R41" s="5">
        <f t="shared" si="29"/>
        <v>2125</v>
      </c>
      <c r="S41" s="5">
        <f t="shared" si="29"/>
        <v>2125</v>
      </c>
      <c r="T41" s="5">
        <f t="shared" si="29"/>
        <v>2125</v>
      </c>
      <c r="U41" s="5">
        <f t="shared" si="29"/>
        <v>2125</v>
      </c>
      <c r="V41" s="5">
        <f t="shared" si="29"/>
        <v>2125</v>
      </c>
    </row>
    <row r="42" spans="1:22" x14ac:dyDescent="0.2">
      <c r="A42" s="3" t="s">
        <v>57</v>
      </c>
      <c r="B42" s="4"/>
      <c r="C42" s="5">
        <f t="shared" ref="C42:E45" si="30">B42</f>
        <v>0</v>
      </c>
      <c r="D42" s="5">
        <f t="shared" si="30"/>
        <v>0</v>
      </c>
      <c r="E42" s="5">
        <f t="shared" si="30"/>
        <v>0</v>
      </c>
      <c r="F42" s="5">
        <f>89183.13</f>
        <v>89183.13</v>
      </c>
      <c r="G42" s="5">
        <f>3052.02</f>
        <v>3052.02</v>
      </c>
      <c r="H42" s="5">
        <f>4230.57</f>
        <v>4230.57</v>
      </c>
      <c r="I42" s="5">
        <f>3346.65</f>
        <v>3346.65</v>
      </c>
      <c r="J42" s="5">
        <f>4289.05</f>
        <v>4289.05</v>
      </c>
      <c r="K42" s="5">
        <f>J42</f>
        <v>4289.05</v>
      </c>
      <c r="L42" s="5">
        <f t="shared" ref="L42:V42" si="31">K42</f>
        <v>4289.05</v>
      </c>
      <c r="M42" s="5">
        <f t="shared" si="31"/>
        <v>4289.05</v>
      </c>
      <c r="N42" s="5">
        <f t="shared" si="31"/>
        <v>4289.05</v>
      </c>
      <c r="O42" s="5">
        <f t="shared" si="31"/>
        <v>4289.05</v>
      </c>
      <c r="P42" s="5">
        <f t="shared" si="31"/>
        <v>4289.05</v>
      </c>
      <c r="Q42" s="5">
        <f t="shared" si="31"/>
        <v>4289.05</v>
      </c>
      <c r="R42" s="5">
        <f t="shared" si="31"/>
        <v>4289.05</v>
      </c>
      <c r="S42" s="5">
        <f t="shared" si="31"/>
        <v>4289.05</v>
      </c>
      <c r="T42" s="5">
        <f t="shared" si="31"/>
        <v>4289.05</v>
      </c>
      <c r="U42" s="5">
        <f t="shared" si="31"/>
        <v>4289.05</v>
      </c>
      <c r="V42" s="5">
        <f t="shared" si="31"/>
        <v>4289.05</v>
      </c>
    </row>
    <row r="43" spans="1:22" x14ac:dyDescent="0.2">
      <c r="A43" s="3" t="s">
        <v>58</v>
      </c>
      <c r="B43" s="4"/>
      <c r="C43" s="5">
        <f t="shared" si="30"/>
        <v>0</v>
      </c>
      <c r="D43" s="5">
        <f t="shared" si="30"/>
        <v>0</v>
      </c>
      <c r="E43" s="5">
        <f t="shared" si="30"/>
        <v>0</v>
      </c>
      <c r="F43" s="5">
        <f>E43</f>
        <v>0</v>
      </c>
      <c r="G43" s="5">
        <f>F43</f>
        <v>0</v>
      </c>
      <c r="H43" s="5">
        <f>G43</f>
        <v>0</v>
      </c>
      <c r="I43" s="5">
        <f>H43</f>
        <v>0</v>
      </c>
      <c r="J43" s="5">
        <f>I43</f>
        <v>0</v>
      </c>
      <c r="K43" s="5">
        <f>1975.03</f>
        <v>1975.03</v>
      </c>
      <c r="L43" s="5">
        <f t="shared" ref="L43:V43" si="32">K43</f>
        <v>1975.03</v>
      </c>
      <c r="M43" s="5">
        <f t="shared" si="32"/>
        <v>1975.03</v>
      </c>
      <c r="N43" s="5">
        <f t="shared" si="32"/>
        <v>1975.03</v>
      </c>
      <c r="O43" s="5">
        <f t="shared" si="32"/>
        <v>1975.03</v>
      </c>
      <c r="P43" s="5">
        <f t="shared" si="32"/>
        <v>1975.03</v>
      </c>
      <c r="Q43" s="5">
        <f t="shared" si="32"/>
        <v>1975.03</v>
      </c>
      <c r="R43" s="5">
        <f t="shared" si="32"/>
        <v>1975.03</v>
      </c>
      <c r="S43" s="5">
        <f t="shared" si="32"/>
        <v>1975.03</v>
      </c>
      <c r="T43" s="5">
        <f t="shared" si="32"/>
        <v>1975.03</v>
      </c>
      <c r="U43" s="5">
        <f t="shared" si="32"/>
        <v>1975.03</v>
      </c>
      <c r="V43" s="5">
        <f t="shared" si="32"/>
        <v>1975.03</v>
      </c>
    </row>
    <row r="44" spans="1:22" x14ac:dyDescent="0.2">
      <c r="A44" s="3" t="s">
        <v>59</v>
      </c>
      <c r="B44" s="4"/>
      <c r="C44" s="5">
        <f t="shared" si="30"/>
        <v>0</v>
      </c>
      <c r="D44" s="5">
        <f t="shared" si="30"/>
        <v>0</v>
      </c>
      <c r="E44" s="5">
        <f t="shared" si="30"/>
        <v>0</v>
      </c>
      <c r="F44" s="5">
        <f>0</f>
        <v>0</v>
      </c>
      <c r="G44" s="5">
        <f>0</f>
        <v>0</v>
      </c>
      <c r="H44" s="5">
        <f>126</f>
        <v>126</v>
      </c>
      <c r="I44" s="5">
        <f>0</f>
        <v>0</v>
      </c>
      <c r="J44" s="5">
        <f>0</f>
        <v>0</v>
      </c>
      <c r="K44" s="5">
        <f>-25721.79</f>
        <v>-25721.79</v>
      </c>
      <c r="L44" s="5">
        <f t="shared" ref="L44:V44" si="33">K44</f>
        <v>-25721.79</v>
      </c>
      <c r="M44" s="5">
        <f t="shared" si="33"/>
        <v>-25721.79</v>
      </c>
      <c r="N44" s="5">
        <f t="shared" si="33"/>
        <v>-25721.79</v>
      </c>
      <c r="O44" s="5">
        <f t="shared" si="33"/>
        <v>-25721.79</v>
      </c>
      <c r="P44" s="5">
        <f t="shared" si="33"/>
        <v>-25721.79</v>
      </c>
      <c r="Q44" s="5">
        <f t="shared" si="33"/>
        <v>-25721.79</v>
      </c>
      <c r="R44" s="5">
        <f t="shared" si="33"/>
        <v>-25721.79</v>
      </c>
      <c r="S44" s="5">
        <f t="shared" si="33"/>
        <v>-25721.79</v>
      </c>
      <c r="T44" s="5">
        <f t="shared" si="33"/>
        <v>-25721.79</v>
      </c>
      <c r="U44" s="5">
        <f t="shared" si="33"/>
        <v>-25721.79</v>
      </c>
      <c r="V44" s="5">
        <f t="shared" si="33"/>
        <v>-25721.79</v>
      </c>
    </row>
    <row r="45" spans="1:22" x14ac:dyDescent="0.2">
      <c r="A45" s="3" t="s">
        <v>60</v>
      </c>
      <c r="B45" s="4"/>
      <c r="C45" s="5">
        <f t="shared" si="30"/>
        <v>0</v>
      </c>
      <c r="D45" s="5">
        <f t="shared" si="30"/>
        <v>0</v>
      </c>
      <c r="E45" s="5">
        <f t="shared" si="30"/>
        <v>0</v>
      </c>
      <c r="F45" s="5">
        <f>E45</f>
        <v>0</v>
      </c>
      <c r="G45" s="5">
        <f>F45</f>
        <v>0</v>
      </c>
      <c r="H45" s="5">
        <f>25777.66</f>
        <v>25777.66</v>
      </c>
      <c r="I45" s="5">
        <f>23453.31</f>
        <v>23453.31</v>
      </c>
      <c r="J45" s="5">
        <f>22095.6</f>
        <v>22095.599999999999</v>
      </c>
      <c r="K45" s="5">
        <f>19705</f>
        <v>19705</v>
      </c>
      <c r="L45" s="5">
        <f>17391.52</f>
        <v>17391.52</v>
      </c>
      <c r="M45" s="5">
        <f>15000.92</f>
        <v>15000.92</v>
      </c>
      <c r="N45" s="5">
        <f>12687.44</f>
        <v>12687.44</v>
      </c>
      <c r="O45" s="5">
        <f>10296.84</f>
        <v>10296.84</v>
      </c>
      <c r="P45" s="5">
        <f>7906.24</f>
        <v>7906.24</v>
      </c>
      <c r="Q45" s="5">
        <f>5592.76</f>
        <v>5592.76</v>
      </c>
      <c r="R45" s="5">
        <f>3202.16</f>
        <v>3202.16</v>
      </c>
      <c r="S45" s="5">
        <f>888.69</f>
        <v>888.69</v>
      </c>
      <c r="T45" s="5">
        <f>87.77</f>
        <v>87.77</v>
      </c>
      <c r="U45" s="5">
        <f>21.52</f>
        <v>21.52</v>
      </c>
      <c r="V45" s="5">
        <f>0</f>
        <v>0</v>
      </c>
    </row>
    <row r="46" spans="1:22" x14ac:dyDescent="0.2">
      <c r="A46" s="3" t="s">
        <v>61</v>
      </c>
      <c r="B46" s="6">
        <f t="shared" ref="B46:V46" si="34">((((B41)+(B42))+(B43))+(B44))+(B45)</f>
        <v>0</v>
      </c>
      <c r="C46" s="6">
        <f t="shared" si="34"/>
        <v>0</v>
      </c>
      <c r="D46" s="6">
        <f t="shared" si="34"/>
        <v>0</v>
      </c>
      <c r="E46" s="6">
        <f t="shared" si="34"/>
        <v>0</v>
      </c>
      <c r="F46" s="6">
        <f t="shared" si="34"/>
        <v>89183.13</v>
      </c>
      <c r="G46" s="6">
        <f t="shared" si="34"/>
        <v>3052.02</v>
      </c>
      <c r="H46" s="6">
        <f t="shared" si="34"/>
        <v>30134.23</v>
      </c>
      <c r="I46" s="6">
        <f t="shared" si="34"/>
        <v>29418.71</v>
      </c>
      <c r="J46" s="6">
        <f t="shared" si="34"/>
        <v>28753.399999999998</v>
      </c>
      <c r="K46" s="6">
        <f t="shared" si="34"/>
        <v>2372.2900000000009</v>
      </c>
      <c r="L46" s="6">
        <f t="shared" si="34"/>
        <v>58.81000000000131</v>
      </c>
      <c r="M46" s="6">
        <f t="shared" si="34"/>
        <v>-2331.7899999999991</v>
      </c>
      <c r="N46" s="6">
        <f t="shared" si="34"/>
        <v>-4645.2699999999986</v>
      </c>
      <c r="O46" s="6">
        <f t="shared" si="34"/>
        <v>-7035.869999999999</v>
      </c>
      <c r="P46" s="6">
        <f t="shared" si="34"/>
        <v>-9426.4699999999993</v>
      </c>
      <c r="Q46" s="6">
        <f t="shared" si="34"/>
        <v>-11739.949999999999</v>
      </c>
      <c r="R46" s="6">
        <f t="shared" si="34"/>
        <v>-14130.55</v>
      </c>
      <c r="S46" s="6">
        <f t="shared" si="34"/>
        <v>-16444.02</v>
      </c>
      <c r="T46" s="6">
        <f t="shared" si="34"/>
        <v>-17244.939999999999</v>
      </c>
      <c r="U46" s="6">
        <f t="shared" si="34"/>
        <v>-17311.189999999999</v>
      </c>
      <c r="V46" s="6">
        <f t="shared" si="34"/>
        <v>-17332.71</v>
      </c>
    </row>
    <row r="47" spans="1:22" x14ac:dyDescent="0.2">
      <c r="A47" s="3" t="s">
        <v>62</v>
      </c>
      <c r="B47" s="6">
        <f t="shared" ref="B47:V47" si="35">((B36)+(B39))+(B46)</f>
        <v>0</v>
      </c>
      <c r="C47" s="6">
        <f t="shared" si="35"/>
        <v>0</v>
      </c>
      <c r="D47" s="6">
        <f t="shared" si="35"/>
        <v>0</v>
      </c>
      <c r="E47" s="6">
        <f t="shared" si="35"/>
        <v>0</v>
      </c>
      <c r="F47" s="6">
        <f t="shared" si="35"/>
        <v>91852.03</v>
      </c>
      <c r="G47" s="6">
        <f t="shared" si="35"/>
        <v>3052.02</v>
      </c>
      <c r="H47" s="6">
        <f t="shared" si="35"/>
        <v>30134.23</v>
      </c>
      <c r="I47" s="6">
        <f t="shared" si="35"/>
        <v>29418.71</v>
      </c>
      <c r="J47" s="6">
        <f t="shared" si="35"/>
        <v>28753.399999999998</v>
      </c>
      <c r="K47" s="6">
        <f t="shared" si="35"/>
        <v>6799.2400000000007</v>
      </c>
      <c r="L47" s="6">
        <f t="shared" si="35"/>
        <v>4485.7600000000011</v>
      </c>
      <c r="M47" s="6">
        <f t="shared" si="35"/>
        <v>2095.1600000000008</v>
      </c>
      <c r="N47" s="6">
        <f t="shared" si="35"/>
        <v>-218.3199999999988</v>
      </c>
      <c r="O47" s="6">
        <f t="shared" si="35"/>
        <v>-2608.9199999999992</v>
      </c>
      <c r="P47" s="6">
        <f t="shared" si="35"/>
        <v>-4999.5199999999995</v>
      </c>
      <c r="Q47" s="6">
        <f t="shared" si="35"/>
        <v>-7312.9999999999991</v>
      </c>
      <c r="R47" s="6">
        <f t="shared" si="35"/>
        <v>-9703.5999999999985</v>
      </c>
      <c r="S47" s="6">
        <f t="shared" si="35"/>
        <v>-12017.07</v>
      </c>
      <c r="T47" s="6">
        <f t="shared" si="35"/>
        <v>-12817.989999999998</v>
      </c>
      <c r="U47" s="6">
        <f t="shared" si="35"/>
        <v>-12884.239999999998</v>
      </c>
      <c r="V47" s="6">
        <f t="shared" si="35"/>
        <v>-12905.759999999998</v>
      </c>
    </row>
    <row r="48" spans="1:22" x14ac:dyDescent="0.2">
      <c r="A48" s="3" t="s">
        <v>63</v>
      </c>
      <c r="B48" s="6">
        <f t="shared" ref="B48:V48" si="36">B47</f>
        <v>0</v>
      </c>
      <c r="C48" s="6">
        <f t="shared" si="36"/>
        <v>0</v>
      </c>
      <c r="D48" s="6">
        <f t="shared" si="36"/>
        <v>0</v>
      </c>
      <c r="E48" s="6">
        <f t="shared" si="36"/>
        <v>0</v>
      </c>
      <c r="F48" s="6">
        <f t="shared" si="36"/>
        <v>91852.03</v>
      </c>
      <c r="G48" s="6">
        <f t="shared" si="36"/>
        <v>3052.02</v>
      </c>
      <c r="H48" s="6">
        <f t="shared" si="36"/>
        <v>30134.23</v>
      </c>
      <c r="I48" s="6">
        <f t="shared" si="36"/>
        <v>29418.71</v>
      </c>
      <c r="J48" s="6">
        <f t="shared" si="36"/>
        <v>28753.399999999998</v>
      </c>
      <c r="K48" s="6">
        <f t="shared" si="36"/>
        <v>6799.2400000000007</v>
      </c>
      <c r="L48" s="6">
        <f t="shared" si="36"/>
        <v>4485.7600000000011</v>
      </c>
      <c r="M48" s="6">
        <f t="shared" si="36"/>
        <v>2095.1600000000008</v>
      </c>
      <c r="N48" s="6">
        <f t="shared" si="36"/>
        <v>-218.3199999999988</v>
      </c>
      <c r="O48" s="6">
        <f t="shared" si="36"/>
        <v>-2608.9199999999992</v>
      </c>
      <c r="P48" s="6">
        <f t="shared" si="36"/>
        <v>-4999.5199999999995</v>
      </c>
      <c r="Q48" s="6">
        <f t="shared" si="36"/>
        <v>-7312.9999999999991</v>
      </c>
      <c r="R48" s="6">
        <f t="shared" si="36"/>
        <v>-9703.5999999999985</v>
      </c>
      <c r="S48" s="6">
        <f t="shared" si="36"/>
        <v>-12017.07</v>
      </c>
      <c r="T48" s="6">
        <f t="shared" si="36"/>
        <v>-12817.989999999998</v>
      </c>
      <c r="U48" s="6">
        <f t="shared" si="36"/>
        <v>-12884.239999999998</v>
      </c>
      <c r="V48" s="6">
        <f t="shared" si="36"/>
        <v>-12905.759999999998</v>
      </c>
    </row>
    <row r="49" spans="1:22" x14ac:dyDescent="0.2">
      <c r="A49" s="3" t="s">
        <v>64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spans="1:22" x14ac:dyDescent="0.2">
      <c r="A50" s="3" t="s">
        <v>65</v>
      </c>
      <c r="B50" s="5">
        <f>60</f>
        <v>60</v>
      </c>
      <c r="C50" s="5">
        <f t="shared" ref="C50:V50" si="37">B50</f>
        <v>60</v>
      </c>
      <c r="D50" s="5">
        <f t="shared" si="37"/>
        <v>60</v>
      </c>
      <c r="E50" s="5">
        <f t="shared" si="37"/>
        <v>60</v>
      </c>
      <c r="F50" s="5">
        <f t="shared" si="37"/>
        <v>60</v>
      </c>
      <c r="G50" s="5">
        <f t="shared" si="37"/>
        <v>60</v>
      </c>
      <c r="H50" s="5">
        <f t="shared" si="37"/>
        <v>60</v>
      </c>
      <c r="I50" s="5">
        <f t="shared" si="37"/>
        <v>60</v>
      </c>
      <c r="J50" s="5">
        <f t="shared" si="37"/>
        <v>60</v>
      </c>
      <c r="K50" s="5">
        <f t="shared" si="37"/>
        <v>60</v>
      </c>
      <c r="L50" s="5">
        <f t="shared" si="37"/>
        <v>60</v>
      </c>
      <c r="M50" s="5">
        <f t="shared" si="37"/>
        <v>60</v>
      </c>
      <c r="N50" s="5">
        <f t="shared" si="37"/>
        <v>60</v>
      </c>
      <c r="O50" s="5">
        <f t="shared" si="37"/>
        <v>60</v>
      </c>
      <c r="P50" s="5">
        <f t="shared" si="37"/>
        <v>60</v>
      </c>
      <c r="Q50" s="5">
        <f t="shared" si="37"/>
        <v>60</v>
      </c>
      <c r="R50" s="5">
        <f t="shared" si="37"/>
        <v>60</v>
      </c>
      <c r="S50" s="5">
        <f t="shared" si="37"/>
        <v>60</v>
      </c>
      <c r="T50" s="5">
        <f t="shared" si="37"/>
        <v>60</v>
      </c>
      <c r="U50" s="5">
        <f t="shared" si="37"/>
        <v>60</v>
      </c>
      <c r="V50" s="5">
        <f t="shared" si="37"/>
        <v>60</v>
      </c>
    </row>
    <row r="51" spans="1:22" x14ac:dyDescent="0.2">
      <c r="A51" s="3" t="s">
        <v>66</v>
      </c>
      <c r="B51" s="4"/>
      <c r="C51" s="5">
        <f t="shared" ref="C51:H51" si="38">B51</f>
        <v>0</v>
      </c>
      <c r="D51" s="5">
        <f t="shared" si="38"/>
        <v>0</v>
      </c>
      <c r="E51" s="5">
        <f t="shared" si="38"/>
        <v>0</v>
      </c>
      <c r="F51" s="5">
        <f t="shared" si="38"/>
        <v>0</v>
      </c>
      <c r="G51" s="5">
        <f t="shared" si="38"/>
        <v>0</v>
      </c>
      <c r="H51" s="5">
        <f t="shared" si="38"/>
        <v>0</v>
      </c>
      <c r="I51" s="5">
        <f>(H51)+(H55)</f>
        <v>-130106.98</v>
      </c>
      <c r="J51" s="5">
        <f t="shared" ref="J51:T51" si="39">I51</f>
        <v>-130106.98</v>
      </c>
      <c r="K51" s="5">
        <f t="shared" si="39"/>
        <v>-130106.98</v>
      </c>
      <c r="L51" s="5">
        <f t="shared" si="39"/>
        <v>-130106.98</v>
      </c>
      <c r="M51" s="5">
        <f t="shared" si="39"/>
        <v>-130106.98</v>
      </c>
      <c r="N51" s="5">
        <f t="shared" si="39"/>
        <v>-130106.98</v>
      </c>
      <c r="O51" s="5">
        <f t="shared" si="39"/>
        <v>-130106.98</v>
      </c>
      <c r="P51" s="5">
        <f t="shared" si="39"/>
        <v>-130106.98</v>
      </c>
      <c r="Q51" s="5">
        <f t="shared" si="39"/>
        <v>-130106.98</v>
      </c>
      <c r="R51" s="5">
        <f t="shared" si="39"/>
        <v>-130106.98</v>
      </c>
      <c r="S51" s="5">
        <f t="shared" si="39"/>
        <v>-130106.98</v>
      </c>
      <c r="T51" s="5">
        <f t="shared" si="39"/>
        <v>-130106.98</v>
      </c>
      <c r="U51" s="5">
        <f>(T51)+(T55)</f>
        <v>-242904.87</v>
      </c>
      <c r="V51" s="5">
        <f>U51</f>
        <v>-242904.87</v>
      </c>
    </row>
    <row r="52" spans="1:22" x14ac:dyDescent="0.2">
      <c r="A52" s="3" t="s">
        <v>67</v>
      </c>
      <c r="B52" s="4"/>
      <c r="C52" s="5">
        <f t="shared" ref="C52:E53" si="40">B52</f>
        <v>0</v>
      </c>
      <c r="D52" s="5">
        <f t="shared" si="40"/>
        <v>0</v>
      </c>
      <c r="E52" s="5">
        <f t="shared" si="40"/>
        <v>0</v>
      </c>
      <c r="F52" s="5">
        <f>2249999.34</f>
        <v>2249999.34</v>
      </c>
      <c r="G52" s="5">
        <f t="shared" ref="G52:I53" si="41">F52</f>
        <v>2249999.34</v>
      </c>
      <c r="H52" s="5">
        <f t="shared" si="41"/>
        <v>2249999.34</v>
      </c>
      <c r="I52" s="5">
        <f t="shared" si="41"/>
        <v>2249999.34</v>
      </c>
      <c r="J52" s="5">
        <f t="shared" ref="J52:T52" si="42">I52</f>
        <v>2249999.34</v>
      </c>
      <c r="K52" s="5">
        <f t="shared" si="42"/>
        <v>2249999.34</v>
      </c>
      <c r="L52" s="5">
        <f t="shared" si="42"/>
        <v>2249999.34</v>
      </c>
      <c r="M52" s="5">
        <f t="shared" si="42"/>
        <v>2249999.34</v>
      </c>
      <c r="N52" s="5">
        <f t="shared" si="42"/>
        <v>2249999.34</v>
      </c>
      <c r="O52" s="5">
        <f t="shared" si="42"/>
        <v>2249999.34</v>
      </c>
      <c r="P52" s="5">
        <f t="shared" si="42"/>
        <v>2249999.34</v>
      </c>
      <c r="Q52" s="5">
        <f t="shared" si="42"/>
        <v>2249999.34</v>
      </c>
      <c r="R52" s="5">
        <f t="shared" si="42"/>
        <v>2249999.34</v>
      </c>
      <c r="S52" s="5">
        <f t="shared" si="42"/>
        <v>2249999.34</v>
      </c>
      <c r="T52" s="5">
        <f t="shared" si="42"/>
        <v>2249999.34</v>
      </c>
      <c r="U52" s="5">
        <f>T52</f>
        <v>2249999.34</v>
      </c>
      <c r="V52" s="5">
        <f>U52</f>
        <v>2249999.34</v>
      </c>
    </row>
    <row r="53" spans="1:22" x14ac:dyDescent="0.2">
      <c r="A53" s="3" t="s">
        <v>68</v>
      </c>
      <c r="B53" s="4"/>
      <c r="C53" s="5">
        <f t="shared" si="40"/>
        <v>0</v>
      </c>
      <c r="D53" s="5">
        <f t="shared" si="40"/>
        <v>0</v>
      </c>
      <c r="E53" s="5">
        <f t="shared" si="40"/>
        <v>0</v>
      </c>
      <c r="F53" s="5">
        <f>-123659</f>
        <v>-123659</v>
      </c>
      <c r="G53" s="5">
        <f t="shared" si="41"/>
        <v>-123659</v>
      </c>
      <c r="H53" s="5">
        <f t="shared" si="41"/>
        <v>-123659</v>
      </c>
      <c r="I53" s="5">
        <f t="shared" si="41"/>
        <v>-123659</v>
      </c>
      <c r="J53" s="5">
        <f t="shared" ref="J53:T53" si="43">I53</f>
        <v>-123659</v>
      </c>
      <c r="K53" s="5">
        <f t="shared" si="43"/>
        <v>-123659</v>
      </c>
      <c r="L53" s="5">
        <f t="shared" si="43"/>
        <v>-123659</v>
      </c>
      <c r="M53" s="5">
        <f t="shared" si="43"/>
        <v>-123659</v>
      </c>
      <c r="N53" s="5">
        <f t="shared" si="43"/>
        <v>-123659</v>
      </c>
      <c r="O53" s="5">
        <f t="shared" si="43"/>
        <v>-123659</v>
      </c>
      <c r="P53" s="5">
        <f t="shared" si="43"/>
        <v>-123659</v>
      </c>
      <c r="Q53" s="5">
        <f t="shared" si="43"/>
        <v>-123659</v>
      </c>
      <c r="R53" s="5">
        <f t="shared" si="43"/>
        <v>-123659</v>
      </c>
      <c r="S53" s="5">
        <f t="shared" si="43"/>
        <v>-123659</v>
      </c>
      <c r="T53" s="5">
        <f t="shared" si="43"/>
        <v>-123659</v>
      </c>
      <c r="U53" s="5">
        <f>T53</f>
        <v>-123659</v>
      </c>
      <c r="V53" s="5">
        <f>U53</f>
        <v>-123659</v>
      </c>
    </row>
    <row r="54" spans="1:22" x14ac:dyDescent="0.2">
      <c r="A54" s="3" t="s">
        <v>69</v>
      </c>
      <c r="B54" s="6">
        <f t="shared" ref="B54:V54" si="44">(B52)+(B53)</f>
        <v>0</v>
      </c>
      <c r="C54" s="6">
        <f t="shared" si="44"/>
        <v>0</v>
      </c>
      <c r="D54" s="6">
        <f t="shared" si="44"/>
        <v>0</v>
      </c>
      <c r="E54" s="6">
        <f t="shared" si="44"/>
        <v>0</v>
      </c>
      <c r="F54" s="6">
        <f t="shared" si="44"/>
        <v>2126340.34</v>
      </c>
      <c r="G54" s="6">
        <f t="shared" si="44"/>
        <v>2126340.34</v>
      </c>
      <c r="H54" s="6">
        <f t="shared" si="44"/>
        <v>2126340.34</v>
      </c>
      <c r="I54" s="6">
        <f t="shared" si="44"/>
        <v>2126340.34</v>
      </c>
      <c r="J54" s="6">
        <f t="shared" si="44"/>
        <v>2126340.34</v>
      </c>
      <c r="K54" s="6">
        <f t="shared" si="44"/>
        <v>2126340.34</v>
      </c>
      <c r="L54" s="6">
        <f t="shared" si="44"/>
        <v>2126340.34</v>
      </c>
      <c r="M54" s="6">
        <f t="shared" si="44"/>
        <v>2126340.34</v>
      </c>
      <c r="N54" s="6">
        <f t="shared" si="44"/>
        <v>2126340.34</v>
      </c>
      <c r="O54" s="6">
        <f t="shared" si="44"/>
        <v>2126340.34</v>
      </c>
      <c r="P54" s="6">
        <f t="shared" si="44"/>
        <v>2126340.34</v>
      </c>
      <c r="Q54" s="6">
        <f t="shared" si="44"/>
        <v>2126340.34</v>
      </c>
      <c r="R54" s="6">
        <f t="shared" si="44"/>
        <v>2126340.34</v>
      </c>
      <c r="S54" s="6">
        <f t="shared" si="44"/>
        <v>2126340.34</v>
      </c>
      <c r="T54" s="6">
        <f t="shared" si="44"/>
        <v>2126340.34</v>
      </c>
      <c r="U54" s="6">
        <f t="shared" si="44"/>
        <v>2126340.34</v>
      </c>
      <c r="V54" s="6">
        <f t="shared" si="44"/>
        <v>2126340.34</v>
      </c>
    </row>
    <row r="55" spans="1:22" x14ac:dyDescent="0.2">
      <c r="A55" s="3" t="s">
        <v>70</v>
      </c>
      <c r="B55" s="4"/>
      <c r="C55" s="5">
        <f>B55</f>
        <v>0</v>
      </c>
      <c r="D55" s="5">
        <f>C55</f>
        <v>0</v>
      </c>
      <c r="E55" s="5">
        <f>D55</f>
        <v>0</v>
      </c>
      <c r="F55" s="5">
        <f>-19538.36</f>
        <v>-19538.36</v>
      </c>
      <c r="G55" s="5">
        <f>-78798.43</f>
        <v>-78798.429999999993</v>
      </c>
      <c r="H55" s="5">
        <f>-130106.98</f>
        <v>-130106.98</v>
      </c>
      <c r="I55" s="5">
        <f>-56538.84</f>
        <v>-56538.84</v>
      </c>
      <c r="J55" s="5">
        <f>-107184.99</f>
        <v>-107184.99</v>
      </c>
      <c r="K55" s="5">
        <f>-129361.62</f>
        <v>-129361.62</v>
      </c>
      <c r="L55" s="5">
        <f>-127515.39</f>
        <v>-127515.39</v>
      </c>
      <c r="M55" s="5">
        <f>-125592.04</f>
        <v>-125592.04</v>
      </c>
      <c r="N55" s="5">
        <f>-123745.81</f>
        <v>-123745.81</v>
      </c>
      <c r="O55" s="5">
        <f>-121822.46</f>
        <v>-121822.46</v>
      </c>
      <c r="P55" s="5">
        <f>-119899.11</f>
        <v>-119899.11</v>
      </c>
      <c r="Q55" s="5">
        <f>-118052.88</f>
        <v>-118052.88</v>
      </c>
      <c r="R55" s="5">
        <f>-115912.28</f>
        <v>-115912.28</v>
      </c>
      <c r="S55" s="5">
        <f>-113598.81</f>
        <v>-113598.81</v>
      </c>
      <c r="T55" s="5">
        <f>-112797.89</f>
        <v>-112797.89</v>
      </c>
      <c r="U55" s="5">
        <f>66.25</f>
        <v>66.25</v>
      </c>
      <c r="V55" s="5">
        <f>87.77</f>
        <v>87.77</v>
      </c>
    </row>
    <row r="56" spans="1:22" x14ac:dyDescent="0.2">
      <c r="A56" s="3" t="s">
        <v>71</v>
      </c>
      <c r="B56" s="6">
        <f t="shared" ref="B56:V56" si="45">(((B50)+(B51))+(B54))+(B55)</f>
        <v>60</v>
      </c>
      <c r="C56" s="6">
        <f t="shared" si="45"/>
        <v>60</v>
      </c>
      <c r="D56" s="6">
        <f t="shared" si="45"/>
        <v>60</v>
      </c>
      <c r="E56" s="6">
        <f t="shared" si="45"/>
        <v>60</v>
      </c>
      <c r="F56" s="6">
        <f t="shared" si="45"/>
        <v>2106861.98</v>
      </c>
      <c r="G56" s="6">
        <f t="shared" si="45"/>
        <v>2047601.91</v>
      </c>
      <c r="H56" s="6">
        <f t="shared" si="45"/>
        <v>1996293.3599999999</v>
      </c>
      <c r="I56" s="6">
        <f t="shared" si="45"/>
        <v>1939754.5199999998</v>
      </c>
      <c r="J56" s="6">
        <f t="shared" si="45"/>
        <v>1889108.3699999999</v>
      </c>
      <c r="K56" s="6">
        <f t="shared" si="45"/>
        <v>1866931.7399999998</v>
      </c>
      <c r="L56" s="6">
        <f t="shared" si="45"/>
        <v>1868777.97</v>
      </c>
      <c r="M56" s="6">
        <f t="shared" si="45"/>
        <v>1870701.3199999998</v>
      </c>
      <c r="N56" s="6">
        <f t="shared" si="45"/>
        <v>1872547.5499999998</v>
      </c>
      <c r="O56" s="6">
        <f t="shared" si="45"/>
        <v>1874470.9</v>
      </c>
      <c r="P56" s="6">
        <f t="shared" si="45"/>
        <v>1876394.2499999998</v>
      </c>
      <c r="Q56" s="6">
        <f t="shared" si="45"/>
        <v>1878240.48</v>
      </c>
      <c r="R56" s="6">
        <f t="shared" si="45"/>
        <v>1880381.0799999998</v>
      </c>
      <c r="S56" s="6">
        <f t="shared" si="45"/>
        <v>1882694.5499999998</v>
      </c>
      <c r="T56" s="6">
        <f t="shared" si="45"/>
        <v>1883495.47</v>
      </c>
      <c r="U56" s="6">
        <f t="shared" si="45"/>
        <v>1883561.7199999997</v>
      </c>
      <c r="V56" s="6">
        <f t="shared" si="45"/>
        <v>1883583.2399999998</v>
      </c>
    </row>
    <row r="57" spans="1:22" x14ac:dyDescent="0.2">
      <c r="A57" s="3" t="s">
        <v>72</v>
      </c>
      <c r="B57" s="7">
        <f t="shared" ref="B57:V57" si="46">(B48)+(B56)</f>
        <v>60</v>
      </c>
      <c r="C57" s="7">
        <f t="shared" si="46"/>
        <v>60</v>
      </c>
      <c r="D57" s="7">
        <f t="shared" si="46"/>
        <v>60</v>
      </c>
      <c r="E57" s="7">
        <f t="shared" si="46"/>
        <v>60</v>
      </c>
      <c r="F57" s="7">
        <f t="shared" si="46"/>
        <v>2198714.0099999998</v>
      </c>
      <c r="G57" s="7">
        <f t="shared" si="46"/>
        <v>2050653.93</v>
      </c>
      <c r="H57" s="7">
        <f t="shared" si="46"/>
        <v>2026427.5899999999</v>
      </c>
      <c r="I57" s="7">
        <f t="shared" si="46"/>
        <v>1969173.2299999997</v>
      </c>
      <c r="J57" s="7">
        <f t="shared" si="46"/>
        <v>1917861.7699999998</v>
      </c>
      <c r="K57" s="7">
        <f t="shared" si="46"/>
        <v>1873730.9799999997</v>
      </c>
      <c r="L57" s="7">
        <f t="shared" si="46"/>
        <v>1873263.73</v>
      </c>
      <c r="M57" s="7">
        <f t="shared" si="46"/>
        <v>1872796.4799999997</v>
      </c>
      <c r="N57" s="7">
        <f t="shared" si="46"/>
        <v>1872329.2299999997</v>
      </c>
      <c r="O57" s="7">
        <f t="shared" si="46"/>
        <v>1871861.98</v>
      </c>
      <c r="P57" s="7">
        <f t="shared" si="46"/>
        <v>1871394.7299999997</v>
      </c>
      <c r="Q57" s="7">
        <f t="shared" si="46"/>
        <v>1870927.48</v>
      </c>
      <c r="R57" s="7">
        <f t="shared" si="46"/>
        <v>1870677.4799999997</v>
      </c>
      <c r="S57" s="7">
        <f t="shared" si="46"/>
        <v>1870677.4799999997</v>
      </c>
      <c r="T57" s="7">
        <f t="shared" si="46"/>
        <v>1870677.48</v>
      </c>
      <c r="U57" s="7">
        <f t="shared" si="46"/>
        <v>1870677.4799999997</v>
      </c>
      <c r="V57" s="7">
        <f t="shared" si="46"/>
        <v>1870677.4799999997</v>
      </c>
    </row>
    <row r="58" spans="1:22" x14ac:dyDescent="0.2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61" spans="1:22" x14ac:dyDescent="0.2">
      <c r="A61" s="8" t="s">
        <v>73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</sheetData>
  <mergeCells count="4">
    <mergeCell ref="A61:V61"/>
    <mergeCell ref="A1:V1"/>
    <mergeCell ref="A2:V2"/>
    <mergeCell ref="A3:V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Jessica McKellar</cp:lastModifiedBy>
  <dcterms:created xsi:type="dcterms:W3CDTF">2025-03-31T04:43:32Z</dcterms:created>
  <dcterms:modified xsi:type="dcterms:W3CDTF">2025-04-01T04:45:36Z</dcterms:modified>
</cp:coreProperties>
</file>
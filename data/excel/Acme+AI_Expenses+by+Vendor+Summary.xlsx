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ess2/Desktop/ai_takehome/"/>
    </mc:Choice>
  </mc:AlternateContent>
  <xr:revisionPtr revIDLastSave="0" documentId="13_ncr:1_{DA093E98-0389-2346-957E-5BD1C3BCF23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Expenses by Vendor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D78" i="1"/>
  <c r="C78" i="1"/>
  <c r="B78" i="1"/>
  <c r="G77" i="1"/>
  <c r="F77" i="1"/>
  <c r="K77" i="1" s="1"/>
  <c r="J76" i="1"/>
  <c r="K76" i="1" s="1"/>
  <c r="I76" i="1"/>
  <c r="H76" i="1"/>
  <c r="G76" i="1"/>
  <c r="G75" i="1"/>
  <c r="K75" i="1" s="1"/>
  <c r="J74" i="1"/>
  <c r="I74" i="1"/>
  <c r="H74" i="1"/>
  <c r="G74" i="1"/>
  <c r="K74" i="1" s="1"/>
  <c r="H73" i="1"/>
  <c r="F73" i="1"/>
  <c r="K73" i="1" s="1"/>
  <c r="J72" i="1"/>
  <c r="I72" i="1"/>
  <c r="K72" i="1" s="1"/>
  <c r="H72" i="1"/>
  <c r="G72" i="1"/>
  <c r="K71" i="1"/>
  <c r="G71" i="1"/>
  <c r="I70" i="1"/>
  <c r="K70" i="1" s="1"/>
  <c r="G69" i="1"/>
  <c r="K69" i="1" s="1"/>
  <c r="G68" i="1"/>
  <c r="K68" i="1" s="1"/>
  <c r="G67" i="1"/>
  <c r="K67" i="1" s="1"/>
  <c r="G66" i="1"/>
  <c r="K66" i="1" s="1"/>
  <c r="J65" i="1"/>
  <c r="K65" i="1" s="1"/>
  <c r="I65" i="1"/>
  <c r="H65" i="1"/>
  <c r="G65" i="1"/>
  <c r="J64" i="1"/>
  <c r="K64" i="1" s="1"/>
  <c r="J63" i="1"/>
  <c r="K63" i="1" s="1"/>
  <c r="J62" i="1"/>
  <c r="K62" i="1" s="1"/>
  <c r="J61" i="1"/>
  <c r="K61" i="1" s="1"/>
  <c r="I60" i="1"/>
  <c r="K60" i="1" s="1"/>
  <c r="J59" i="1"/>
  <c r="I59" i="1"/>
  <c r="K59" i="1" s="1"/>
  <c r="H59" i="1"/>
  <c r="G59" i="1"/>
  <c r="F59" i="1"/>
  <c r="J58" i="1"/>
  <c r="K58" i="1" s="1"/>
  <c r="G57" i="1"/>
  <c r="K57" i="1" s="1"/>
  <c r="J56" i="1"/>
  <c r="I56" i="1"/>
  <c r="K56" i="1" s="1"/>
  <c r="J55" i="1"/>
  <c r="K55" i="1" s="1"/>
  <c r="J54" i="1"/>
  <c r="I54" i="1"/>
  <c r="H54" i="1"/>
  <c r="K54" i="1" s="1"/>
  <c r="G54" i="1"/>
  <c r="F54" i="1"/>
  <c r="K53" i="1"/>
  <c r="I53" i="1"/>
  <c r="H52" i="1"/>
  <c r="K52" i="1" s="1"/>
  <c r="G51" i="1"/>
  <c r="K51" i="1" s="1"/>
  <c r="I50" i="1"/>
  <c r="H50" i="1"/>
  <c r="G50" i="1"/>
  <c r="F50" i="1"/>
  <c r="K50" i="1" s="1"/>
  <c r="K49" i="1"/>
  <c r="J49" i="1"/>
  <c r="I49" i="1"/>
  <c r="H49" i="1"/>
  <c r="G49" i="1"/>
  <c r="F49" i="1"/>
  <c r="F48" i="1"/>
  <c r="K48" i="1" s="1"/>
  <c r="H47" i="1"/>
  <c r="K47" i="1" s="1"/>
  <c r="J46" i="1"/>
  <c r="I46" i="1"/>
  <c r="H46" i="1"/>
  <c r="G46" i="1"/>
  <c r="F46" i="1"/>
  <c r="K46" i="1" s="1"/>
  <c r="J45" i="1"/>
  <c r="K45" i="1" s="1"/>
  <c r="K44" i="1"/>
  <c r="J44" i="1"/>
  <c r="I44" i="1"/>
  <c r="H44" i="1"/>
  <c r="G44" i="1"/>
  <c r="J43" i="1"/>
  <c r="I43" i="1"/>
  <c r="H43" i="1"/>
  <c r="G43" i="1"/>
  <c r="K43" i="1" s="1"/>
  <c r="J42" i="1"/>
  <c r="I42" i="1"/>
  <c r="H42" i="1"/>
  <c r="K42" i="1" s="1"/>
  <c r="K41" i="1"/>
  <c r="J41" i="1"/>
  <c r="G41" i="1"/>
  <c r="K40" i="1"/>
  <c r="J40" i="1"/>
  <c r="K39" i="1"/>
  <c r="G39" i="1"/>
  <c r="J38" i="1"/>
  <c r="I38" i="1"/>
  <c r="H38" i="1"/>
  <c r="K38" i="1" s="1"/>
  <c r="H37" i="1"/>
  <c r="K37" i="1" s="1"/>
  <c r="I36" i="1"/>
  <c r="H36" i="1"/>
  <c r="K36" i="1" s="1"/>
  <c r="J35" i="1"/>
  <c r="I35" i="1"/>
  <c r="K35" i="1" s="1"/>
  <c r="H35" i="1"/>
  <c r="G35" i="1"/>
  <c r="F35" i="1"/>
  <c r="J34" i="1"/>
  <c r="I34" i="1"/>
  <c r="H34" i="1"/>
  <c r="K34" i="1" s="1"/>
  <c r="J33" i="1"/>
  <c r="I33" i="1"/>
  <c r="H33" i="1"/>
  <c r="G33" i="1"/>
  <c r="K33" i="1" s="1"/>
  <c r="J32" i="1"/>
  <c r="I32" i="1"/>
  <c r="H32" i="1"/>
  <c r="K32" i="1" s="1"/>
  <c r="G32" i="1"/>
  <c r="J31" i="1"/>
  <c r="I31" i="1"/>
  <c r="H31" i="1"/>
  <c r="G31" i="1"/>
  <c r="K31" i="1" s="1"/>
  <c r="J30" i="1"/>
  <c r="I30" i="1"/>
  <c r="H30" i="1"/>
  <c r="G30" i="1"/>
  <c r="K30" i="1" s="1"/>
  <c r="J29" i="1"/>
  <c r="I29" i="1"/>
  <c r="H29" i="1"/>
  <c r="G29" i="1"/>
  <c r="K29" i="1" s="1"/>
  <c r="K28" i="1"/>
  <c r="J28" i="1"/>
  <c r="I28" i="1"/>
  <c r="H28" i="1"/>
  <c r="G28" i="1"/>
  <c r="J27" i="1"/>
  <c r="K27" i="1" s="1"/>
  <c r="J26" i="1"/>
  <c r="I26" i="1"/>
  <c r="H26" i="1"/>
  <c r="G26" i="1"/>
  <c r="K26" i="1" s="1"/>
  <c r="G25" i="1"/>
  <c r="K25" i="1" s="1"/>
  <c r="I24" i="1"/>
  <c r="K24" i="1" s="1"/>
  <c r="H24" i="1"/>
  <c r="G24" i="1"/>
  <c r="J23" i="1"/>
  <c r="I23" i="1"/>
  <c r="H23" i="1"/>
  <c r="G23" i="1"/>
  <c r="K23" i="1" s="1"/>
  <c r="J22" i="1"/>
  <c r="I22" i="1"/>
  <c r="H22" i="1"/>
  <c r="K22" i="1" s="1"/>
  <c r="G21" i="1"/>
  <c r="K21" i="1" s="1"/>
  <c r="J20" i="1"/>
  <c r="I20" i="1"/>
  <c r="K20" i="1" s="1"/>
  <c r="H20" i="1"/>
  <c r="G20" i="1"/>
  <c r="K19" i="1"/>
  <c r="G19" i="1"/>
  <c r="J18" i="1"/>
  <c r="I18" i="1"/>
  <c r="H18" i="1"/>
  <c r="G18" i="1"/>
  <c r="K18" i="1" s="1"/>
  <c r="J17" i="1"/>
  <c r="I17" i="1"/>
  <c r="H17" i="1"/>
  <c r="G17" i="1"/>
  <c r="K17" i="1" s="1"/>
  <c r="I16" i="1"/>
  <c r="K16" i="1" s="1"/>
  <c r="K15" i="1"/>
  <c r="G15" i="1"/>
  <c r="K14" i="1"/>
  <c r="G14" i="1"/>
  <c r="J13" i="1"/>
  <c r="I13" i="1"/>
  <c r="H13" i="1"/>
  <c r="K13" i="1" s="1"/>
  <c r="J12" i="1"/>
  <c r="I12" i="1"/>
  <c r="H12" i="1"/>
  <c r="G12" i="1"/>
  <c r="F12" i="1"/>
  <c r="F78" i="1" s="1"/>
  <c r="J11" i="1"/>
  <c r="K11" i="1" s="1"/>
  <c r="I11" i="1"/>
  <c r="H11" i="1"/>
  <c r="G11" i="1"/>
  <c r="F11" i="1"/>
  <c r="J10" i="1"/>
  <c r="K10" i="1" s="1"/>
  <c r="H9" i="1"/>
  <c r="K9" i="1" s="1"/>
  <c r="J8" i="1"/>
  <c r="I8" i="1"/>
  <c r="H8" i="1"/>
  <c r="K8" i="1" s="1"/>
  <c r="J7" i="1"/>
  <c r="K7" i="1" s="1"/>
  <c r="J6" i="1"/>
  <c r="K6" i="1" s="1"/>
  <c r="I6" i="1"/>
  <c r="I78" i="1" s="1"/>
  <c r="H6" i="1"/>
  <c r="H78" i="1" s="1"/>
  <c r="G6" i="1"/>
  <c r="G78" i="1" s="1"/>
  <c r="K12" i="1" l="1"/>
  <c r="J78" i="1"/>
  <c r="K78" i="1" s="1"/>
</calcChain>
</file>

<file path=xl/sharedStrings.xml><?xml version="1.0" encoding="utf-8"?>
<sst xmlns="http://schemas.openxmlformats.org/spreadsheetml/2006/main" count="87" uniqueCount="87">
  <si>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</si>
  <si>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</si>
  <si>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</si>
  <si>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</si>
  <si>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</si>
  <si>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</si>
  <si>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</si>
  <si>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</si>
  <si>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</si>
  <si>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Total</t>
  </si>
  <si>
    <t>Ali Amr Mohamad Sami Souidan</t>
  </si>
  <si>
    <t>Aloha Fresh</t>
  </si>
  <si>
    <t>Amazon</t>
  </si>
  <si>
    <t>Apple</t>
  </si>
  <si>
    <t>Arabi</t>
  </si>
  <si>
    <t>Atlassian</t>
  </si>
  <si>
    <t>Berkshire Hathaway Insurance</t>
  </si>
  <si>
    <t>CA Health Benefit</t>
  </si>
  <si>
    <t>Calendly</t>
  </si>
  <si>
    <t>California Secretary of State</t>
  </si>
  <si>
    <t>CertPro LLC</t>
  </si>
  <si>
    <t>Cloudflare</t>
  </si>
  <si>
    <t>Comcast</t>
  </si>
  <si>
    <t>Concious Leadership Group</t>
  </si>
  <si>
    <t>Deel</t>
  </si>
  <si>
    <t>Delta Airlines</t>
  </si>
  <si>
    <t>Descript</t>
  </si>
  <si>
    <t>DLA Piper</t>
  </si>
  <si>
    <t>Dropbox</t>
  </si>
  <si>
    <t>Dunkin Donuts</t>
  </si>
  <si>
    <t>Edmon Marine Clota</t>
  </si>
  <si>
    <t>Ein News</t>
  </si>
  <si>
    <t>Essex Property Rental</t>
  </si>
  <si>
    <t>Figma</t>
  </si>
  <si>
    <t>GitHub</t>
  </si>
  <si>
    <t>Google</t>
  </si>
  <si>
    <t>Google Workspace</t>
  </si>
  <si>
    <t>Grain</t>
  </si>
  <si>
    <t>Guardian</t>
  </si>
  <si>
    <t>Gusto</t>
  </si>
  <si>
    <t>iJava Cafe</t>
  </si>
  <si>
    <t>IKEA</t>
  </si>
  <si>
    <t>Intuit QuickBooks</t>
  </si>
  <si>
    <t>Jamba Juice</t>
  </si>
  <si>
    <t>Justin Welsh</t>
  </si>
  <si>
    <t>LinkedIn</t>
  </si>
  <si>
    <t>Mercury Treasury</t>
  </si>
  <si>
    <t>mHmd hshm mHmd hll `bd lHmyd</t>
  </si>
  <si>
    <t>Microsoft</t>
  </si>
  <si>
    <t>Minato Sushi</t>
  </si>
  <si>
    <t>Nespresso</t>
  </si>
  <si>
    <t>Nodogoro LLC</t>
  </si>
  <si>
    <t>OpenAI</t>
  </si>
  <si>
    <t>OpenPhone</t>
  </si>
  <si>
    <t>Pacific Catch</t>
  </si>
  <si>
    <t>Parking</t>
  </si>
  <si>
    <t>Pilot.com</t>
  </si>
  <si>
    <t>Pulley Cap Table</t>
  </si>
  <si>
    <t>Replit</t>
  </si>
  <si>
    <t>Santo Market Inc</t>
  </si>
  <si>
    <t>Sendy</t>
  </si>
  <si>
    <t>Slack</t>
  </si>
  <si>
    <t>Stable</t>
  </si>
  <si>
    <t>State of Delaware Taxes</t>
  </si>
  <si>
    <t>State Taxes</t>
  </si>
  <si>
    <t>Stripe</t>
  </si>
  <si>
    <t>Stripe credit</t>
  </si>
  <si>
    <t>SVGator</t>
  </si>
  <si>
    <t>T Mobile</t>
  </si>
  <si>
    <t>Tono Coffee Project</t>
  </si>
  <si>
    <t>Twitter</t>
  </si>
  <si>
    <t>Twitter Ads</t>
  </si>
  <si>
    <t>Uber</t>
  </si>
  <si>
    <t>Uber Eats</t>
  </si>
  <si>
    <t>UlavacharU</t>
  </si>
  <si>
    <t>United Financial Casualty Company</t>
  </si>
  <si>
    <t>UPS</t>
  </si>
  <si>
    <t>Vanta</t>
  </si>
  <si>
    <t>Youtube</t>
  </si>
  <si>
    <t>Zoom.us</t>
  </si>
  <si>
    <t>Not Specified</t>
  </si>
  <si>
    <t>TOTAL</t>
  </si>
  <si>
    <t>Sunday, Mar 30, 2025 09:46:02 PM GMT-7 - Accrual Basis</t>
  </si>
  <si>
    <t>Expenses by Vendor Summary</t>
  </si>
  <si>
    <t>June 2024 - February 2025</t>
  </si>
  <si>
    <t>Myra Lynn Lanting Rockwell</t>
  </si>
  <si>
    <t>Acme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</si>
</sst>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7" x14ac:knownFonts="1"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selection activeCell="A2" sqref="A2:K2"/>
    </sheetView>
  </sheetViews>
  <sheetFormatPr baseColWidth="10" defaultColWidth="8.83203125" defaultRowHeight="15" x14ac:dyDescent="0.2"/>
  <cols>
    <col min="1" max="1" width="29.1640625" customWidth="1"/>
    <col min="2" max="5" width="7.6640625" customWidth="1"/>
    <col min="6" max="10" width="9.5" customWidth="1"/>
    <col min="11" max="11" width="10.33203125" customWidth="1"/>
  </cols>
  <sheetData>
    <row r="1" spans="1:11" ht="18" x14ac:dyDescent="0.2">
      <c r="A1" s="9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8" x14ac:dyDescent="0.2">
      <c r="A2" s="9" t="s">
        <v>83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">
      <c r="A3" s="10" t="s">
        <v>84</v>
      </c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x14ac:dyDescent="0.2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</row>
    <row r="6" spans="1:11" x14ac:dyDescent="0.2">
      <c r="A6" s="3" t="s">
        <v>10</v>
      </c>
      <c r="B6" s="4"/>
      <c r="C6" s="4"/>
      <c r="D6" s="4"/>
      <c r="E6" s="4"/>
      <c r="F6" s="4"/>
      <c r="G6" s="5">
        <f>2857.14</f>
        <v>2857.14</v>
      </c>
      <c r="H6" s="5">
        <f>3000</f>
        <v>3000</v>
      </c>
      <c r="I6" s="5">
        <f>3000</f>
        <v>3000</v>
      </c>
      <c r="J6" s="5">
        <f>3000</f>
        <v>3000</v>
      </c>
      <c r="K6" s="5">
        <f t="shared" ref="K6:K37" si="0">((((((((B6)+(C6))+(D6))+(E6))+(F6))+(G6))+(H6))+(I6))+(J6)</f>
        <v>11857.14</v>
      </c>
    </row>
    <row r="7" spans="1:11" x14ac:dyDescent="0.2">
      <c r="A7" s="3" t="s">
        <v>11</v>
      </c>
      <c r="B7" s="4"/>
      <c r="C7" s="4"/>
      <c r="D7" s="4"/>
      <c r="E7" s="4"/>
      <c r="F7" s="4"/>
      <c r="G7" s="4"/>
      <c r="H7" s="4"/>
      <c r="I7" s="4"/>
      <c r="J7" s="5">
        <f>28.65</f>
        <v>28.65</v>
      </c>
      <c r="K7" s="5">
        <f t="shared" si="0"/>
        <v>28.65</v>
      </c>
    </row>
    <row r="8" spans="1:11" x14ac:dyDescent="0.2">
      <c r="A8" s="3" t="s">
        <v>12</v>
      </c>
      <c r="B8" s="4"/>
      <c r="C8" s="4"/>
      <c r="D8" s="4"/>
      <c r="E8" s="4"/>
      <c r="F8" s="4"/>
      <c r="G8" s="4"/>
      <c r="H8" s="5">
        <f>371.86</f>
        <v>371.86</v>
      </c>
      <c r="I8" s="5">
        <f>174.99</f>
        <v>174.99</v>
      </c>
      <c r="J8" s="5">
        <f>66.3</f>
        <v>66.3</v>
      </c>
      <c r="K8" s="5">
        <f t="shared" si="0"/>
        <v>613.15</v>
      </c>
    </row>
    <row r="9" spans="1:11" x14ac:dyDescent="0.2">
      <c r="A9" s="3" t="s">
        <v>13</v>
      </c>
      <c r="B9" s="4"/>
      <c r="C9" s="4"/>
      <c r="D9" s="4"/>
      <c r="E9" s="4"/>
      <c r="F9" s="4"/>
      <c r="G9" s="4"/>
      <c r="H9" s="5">
        <f>361.72</f>
        <v>361.72</v>
      </c>
      <c r="I9" s="4"/>
      <c r="J9" s="4"/>
      <c r="K9" s="5">
        <f t="shared" si="0"/>
        <v>361.72</v>
      </c>
    </row>
    <row r="10" spans="1:11" x14ac:dyDescent="0.2">
      <c r="A10" s="3" t="s">
        <v>14</v>
      </c>
      <c r="B10" s="4"/>
      <c r="C10" s="4"/>
      <c r="D10" s="4"/>
      <c r="E10" s="4"/>
      <c r="F10" s="4"/>
      <c r="G10" s="4"/>
      <c r="H10" s="4"/>
      <c r="I10" s="4"/>
      <c r="J10" s="5">
        <f>51.51</f>
        <v>51.51</v>
      </c>
      <c r="K10" s="5">
        <f t="shared" si="0"/>
        <v>51.51</v>
      </c>
    </row>
    <row r="11" spans="1:11" x14ac:dyDescent="0.2">
      <c r="A11" s="3" t="s">
        <v>15</v>
      </c>
      <c r="B11" s="4"/>
      <c r="C11" s="4"/>
      <c r="D11" s="4"/>
      <c r="E11" s="4"/>
      <c r="F11" s="5">
        <f>17.2</f>
        <v>17.2</v>
      </c>
      <c r="G11" s="5">
        <f>8.6</f>
        <v>8.6</v>
      </c>
      <c r="H11" s="5">
        <f>8.6</f>
        <v>8.6</v>
      </c>
      <c r="I11" s="5">
        <f>8.6</f>
        <v>8.6</v>
      </c>
      <c r="J11" s="5">
        <f>8.6</f>
        <v>8.6</v>
      </c>
      <c r="K11" s="5">
        <f t="shared" si="0"/>
        <v>51.6</v>
      </c>
    </row>
    <row r="12" spans="1:11" x14ac:dyDescent="0.2">
      <c r="A12" s="3" t="s">
        <v>16</v>
      </c>
      <c r="B12" s="4"/>
      <c r="C12" s="4"/>
      <c r="D12" s="4"/>
      <c r="E12" s="4"/>
      <c r="F12" s="5">
        <f>42.25</f>
        <v>42.25</v>
      </c>
      <c r="G12" s="5">
        <f>42.25</f>
        <v>42.25</v>
      </c>
      <c r="H12" s="5">
        <f>42.25</f>
        <v>42.25</v>
      </c>
      <c r="I12" s="5">
        <f>42.25</f>
        <v>42.25</v>
      </c>
      <c r="J12" s="5">
        <f>42.25</f>
        <v>42.25</v>
      </c>
      <c r="K12" s="5">
        <f t="shared" si="0"/>
        <v>211.25</v>
      </c>
    </row>
    <row r="13" spans="1:11" x14ac:dyDescent="0.2">
      <c r="A13" s="3" t="s">
        <v>17</v>
      </c>
      <c r="B13" s="4"/>
      <c r="C13" s="4"/>
      <c r="D13" s="4"/>
      <c r="E13" s="4"/>
      <c r="F13" s="4"/>
      <c r="G13" s="4"/>
      <c r="H13" s="5">
        <f>2321.17</f>
        <v>2321.17</v>
      </c>
      <c r="I13" s="5">
        <f>2321.17</f>
        <v>2321.17</v>
      </c>
      <c r="J13" s="5">
        <f>2321.17</f>
        <v>2321.17</v>
      </c>
      <c r="K13" s="5">
        <f t="shared" si="0"/>
        <v>6963.51</v>
      </c>
    </row>
    <row r="14" spans="1:11" x14ac:dyDescent="0.2">
      <c r="A14" s="3" t="s">
        <v>18</v>
      </c>
      <c r="B14" s="4"/>
      <c r="C14" s="4"/>
      <c r="D14" s="4"/>
      <c r="E14" s="4"/>
      <c r="F14" s="4"/>
      <c r="G14" s="5">
        <f>21.5</f>
        <v>21.5</v>
      </c>
      <c r="H14" s="4"/>
      <c r="I14" s="4"/>
      <c r="J14" s="4"/>
      <c r="K14" s="5">
        <f t="shared" si="0"/>
        <v>21.5</v>
      </c>
    </row>
    <row r="15" spans="1:11" x14ac:dyDescent="0.2">
      <c r="A15" s="3" t="s">
        <v>19</v>
      </c>
      <c r="B15" s="4"/>
      <c r="C15" s="4"/>
      <c r="D15" s="4"/>
      <c r="E15" s="4"/>
      <c r="F15" s="4"/>
      <c r="G15" s="5">
        <f>35</f>
        <v>35</v>
      </c>
      <c r="H15" s="4"/>
      <c r="I15" s="4"/>
      <c r="J15" s="4"/>
      <c r="K15" s="5">
        <f t="shared" si="0"/>
        <v>35</v>
      </c>
    </row>
    <row r="16" spans="1:11" x14ac:dyDescent="0.2">
      <c r="A16" s="3" t="s">
        <v>20</v>
      </c>
      <c r="B16" s="4"/>
      <c r="C16" s="4"/>
      <c r="D16" s="4"/>
      <c r="E16" s="4"/>
      <c r="F16" s="4"/>
      <c r="G16" s="4"/>
      <c r="H16" s="4"/>
      <c r="I16" s="5">
        <f>3000</f>
        <v>3000</v>
      </c>
      <c r="J16" s="4"/>
      <c r="K16" s="5">
        <f t="shared" si="0"/>
        <v>3000</v>
      </c>
    </row>
    <row r="17" spans="1:11" x14ac:dyDescent="0.2">
      <c r="A17" s="3" t="s">
        <v>21</v>
      </c>
      <c r="B17" s="4"/>
      <c r="C17" s="4"/>
      <c r="D17" s="4"/>
      <c r="E17" s="4"/>
      <c r="F17" s="4"/>
      <c r="G17" s="5">
        <f>45.44</f>
        <v>45.44</v>
      </c>
      <c r="H17" s="5">
        <f>35</f>
        <v>35</v>
      </c>
      <c r="I17" s="5">
        <f>35</f>
        <v>35</v>
      </c>
      <c r="J17" s="5">
        <f>35</f>
        <v>35</v>
      </c>
      <c r="K17" s="5">
        <f t="shared" si="0"/>
        <v>150.44</v>
      </c>
    </row>
    <row r="18" spans="1:11" x14ac:dyDescent="0.2">
      <c r="A18" s="3" t="s">
        <v>22</v>
      </c>
      <c r="B18" s="4"/>
      <c r="C18" s="4"/>
      <c r="D18" s="4"/>
      <c r="E18" s="4"/>
      <c r="F18" s="4"/>
      <c r="G18" s="5">
        <f>144</f>
        <v>144</v>
      </c>
      <c r="H18" s="5">
        <f>139</f>
        <v>139</v>
      </c>
      <c r="I18" s="5">
        <f>139</f>
        <v>139</v>
      </c>
      <c r="J18" s="5">
        <f>144</f>
        <v>144</v>
      </c>
      <c r="K18" s="5">
        <f t="shared" si="0"/>
        <v>566</v>
      </c>
    </row>
    <row r="19" spans="1:11" x14ac:dyDescent="0.2">
      <c r="A19" s="3" t="s">
        <v>23</v>
      </c>
      <c r="B19" s="4"/>
      <c r="C19" s="4"/>
      <c r="D19" s="4"/>
      <c r="E19" s="4"/>
      <c r="F19" s="4"/>
      <c r="G19" s="5">
        <f>4844.44</f>
        <v>4844.4399999999996</v>
      </c>
      <c r="H19" s="4"/>
      <c r="I19" s="4"/>
      <c r="J19" s="4"/>
      <c r="K19" s="5">
        <f t="shared" si="0"/>
        <v>4844.4399999999996</v>
      </c>
    </row>
    <row r="20" spans="1:11" x14ac:dyDescent="0.2">
      <c r="A20" s="3" t="s">
        <v>24</v>
      </c>
      <c r="B20" s="4"/>
      <c r="C20" s="4"/>
      <c r="D20" s="4"/>
      <c r="E20" s="4"/>
      <c r="F20" s="4"/>
      <c r="G20" s="5">
        <f>5</f>
        <v>5</v>
      </c>
      <c r="H20" s="5">
        <f>5</f>
        <v>5</v>
      </c>
      <c r="I20" s="5">
        <f>5</f>
        <v>5</v>
      </c>
      <c r="J20" s="5">
        <f>5</f>
        <v>5</v>
      </c>
      <c r="K20" s="5">
        <f t="shared" si="0"/>
        <v>20</v>
      </c>
    </row>
    <row r="21" spans="1:11" x14ac:dyDescent="0.2">
      <c r="A21" s="3" t="s">
        <v>25</v>
      </c>
      <c r="B21" s="4"/>
      <c r="C21" s="4"/>
      <c r="D21" s="4"/>
      <c r="E21" s="4"/>
      <c r="F21" s="4"/>
      <c r="G21" s="5">
        <f>540.44</f>
        <v>540.44000000000005</v>
      </c>
      <c r="H21" s="4"/>
      <c r="I21" s="4"/>
      <c r="J21" s="4"/>
      <c r="K21" s="5">
        <f t="shared" si="0"/>
        <v>540.44000000000005</v>
      </c>
    </row>
    <row r="22" spans="1:11" x14ac:dyDescent="0.2">
      <c r="A22" s="3" t="s">
        <v>26</v>
      </c>
      <c r="B22" s="4"/>
      <c r="C22" s="4"/>
      <c r="D22" s="4"/>
      <c r="E22" s="4"/>
      <c r="F22" s="4"/>
      <c r="G22" s="4"/>
      <c r="H22" s="5">
        <f>15</f>
        <v>15</v>
      </c>
      <c r="I22" s="5">
        <f>15</f>
        <v>15</v>
      </c>
      <c r="J22" s="5">
        <f>15</f>
        <v>15</v>
      </c>
      <c r="K22" s="5">
        <f t="shared" si="0"/>
        <v>45</v>
      </c>
    </row>
    <row r="23" spans="1:11" x14ac:dyDescent="0.2">
      <c r="A23" s="3" t="s">
        <v>27</v>
      </c>
      <c r="B23" s="4"/>
      <c r="C23" s="4"/>
      <c r="D23" s="4"/>
      <c r="E23" s="4"/>
      <c r="F23" s="4"/>
      <c r="G23" s="5">
        <f>3052.02</f>
        <v>3052.02</v>
      </c>
      <c r="H23" s="5">
        <f>1178.55</f>
        <v>1178.55</v>
      </c>
      <c r="I23" s="5">
        <f>2168.1</f>
        <v>2168.1</v>
      </c>
      <c r="J23" s="5">
        <f>942.4</f>
        <v>942.4</v>
      </c>
      <c r="K23" s="5">
        <f t="shared" si="0"/>
        <v>7341.07</v>
      </c>
    </row>
    <row r="24" spans="1:11" x14ac:dyDescent="0.2">
      <c r="A24" s="3" t="s">
        <v>28</v>
      </c>
      <c r="B24" s="4"/>
      <c r="C24" s="4"/>
      <c r="D24" s="4"/>
      <c r="E24" s="4"/>
      <c r="F24" s="4"/>
      <c r="G24" s="5">
        <f>119.88</f>
        <v>119.88</v>
      </c>
      <c r="H24" s="5">
        <f>11.99</f>
        <v>11.99</v>
      </c>
      <c r="I24" s="5">
        <f>11.99</f>
        <v>11.99</v>
      </c>
      <c r="J24" s="4"/>
      <c r="K24" s="5">
        <f t="shared" si="0"/>
        <v>143.86000000000001</v>
      </c>
    </row>
    <row r="25" spans="1:11" x14ac:dyDescent="0.2">
      <c r="A25" s="3" t="s">
        <v>29</v>
      </c>
      <c r="B25" s="4"/>
      <c r="C25" s="4"/>
      <c r="D25" s="4"/>
      <c r="E25" s="4"/>
      <c r="F25" s="4"/>
      <c r="G25" s="5">
        <f>18.02</f>
        <v>18.02</v>
      </c>
      <c r="H25" s="4"/>
      <c r="I25" s="4"/>
      <c r="J25" s="4"/>
      <c r="K25" s="5">
        <f t="shared" si="0"/>
        <v>18.02</v>
      </c>
    </row>
    <row r="26" spans="1:11" x14ac:dyDescent="0.2">
      <c r="A26" s="3" t="s">
        <v>30</v>
      </c>
      <c r="B26" s="4"/>
      <c r="C26" s="4"/>
      <c r="D26" s="4"/>
      <c r="E26" s="4"/>
      <c r="F26" s="4"/>
      <c r="G26" s="5">
        <f>4761.9</f>
        <v>4761.8999999999996</v>
      </c>
      <c r="H26" s="5">
        <f>5000</f>
        <v>5000</v>
      </c>
      <c r="I26" s="5">
        <f>5000</f>
        <v>5000</v>
      </c>
      <c r="J26" s="5">
        <f>5000</f>
        <v>5000</v>
      </c>
      <c r="K26" s="5">
        <f t="shared" si="0"/>
        <v>19761.900000000001</v>
      </c>
    </row>
    <row r="27" spans="1:11" x14ac:dyDescent="0.2">
      <c r="A27" s="3" t="s">
        <v>31</v>
      </c>
      <c r="B27" s="4"/>
      <c r="C27" s="4"/>
      <c r="D27" s="4"/>
      <c r="E27" s="4"/>
      <c r="F27" s="4"/>
      <c r="G27" s="4"/>
      <c r="H27" s="4"/>
      <c r="I27" s="4"/>
      <c r="J27" s="5">
        <f>99.95</f>
        <v>99.95</v>
      </c>
      <c r="K27" s="5">
        <f t="shared" si="0"/>
        <v>99.95</v>
      </c>
    </row>
    <row r="28" spans="1:11" x14ac:dyDescent="0.2">
      <c r="A28" s="3" t="s">
        <v>32</v>
      </c>
      <c r="B28" s="4"/>
      <c r="C28" s="4"/>
      <c r="D28" s="4"/>
      <c r="E28" s="4"/>
      <c r="F28" s="4"/>
      <c r="G28" s="5">
        <f>5417.34</f>
        <v>5417.34</v>
      </c>
      <c r="H28" s="5">
        <f>5469.85</f>
        <v>5469.85</v>
      </c>
      <c r="I28" s="5">
        <f>5644.57</f>
        <v>5644.57</v>
      </c>
      <c r="J28" s="5">
        <f>5716</f>
        <v>5716</v>
      </c>
      <c r="K28" s="5">
        <f t="shared" si="0"/>
        <v>22247.760000000002</v>
      </c>
    </row>
    <row r="29" spans="1:11" x14ac:dyDescent="0.2">
      <c r="A29" s="3" t="s">
        <v>33</v>
      </c>
      <c r="B29" s="4"/>
      <c r="C29" s="4"/>
      <c r="D29" s="4"/>
      <c r="E29" s="4"/>
      <c r="F29" s="4"/>
      <c r="G29" s="5">
        <f>15</f>
        <v>15</v>
      </c>
      <c r="H29" s="5">
        <f>15</f>
        <v>15</v>
      </c>
      <c r="I29" s="5">
        <f>15</f>
        <v>15</v>
      </c>
      <c r="J29" s="5">
        <f>15</f>
        <v>15</v>
      </c>
      <c r="K29" s="5">
        <f t="shared" si="0"/>
        <v>60</v>
      </c>
    </row>
    <row r="30" spans="1:11" x14ac:dyDescent="0.2">
      <c r="A30" s="3" t="s">
        <v>34</v>
      </c>
      <c r="B30" s="4"/>
      <c r="C30" s="4"/>
      <c r="D30" s="4"/>
      <c r="E30" s="4"/>
      <c r="F30" s="4"/>
      <c r="G30" s="5">
        <f>32</f>
        <v>32</v>
      </c>
      <c r="H30" s="5">
        <f>32</f>
        <v>32</v>
      </c>
      <c r="I30" s="5">
        <f>32</f>
        <v>32</v>
      </c>
      <c r="J30" s="5">
        <f>28</f>
        <v>28</v>
      </c>
      <c r="K30" s="5">
        <f t="shared" si="0"/>
        <v>124</v>
      </c>
    </row>
    <row r="31" spans="1:11" x14ac:dyDescent="0.2">
      <c r="A31" s="3" t="s">
        <v>35</v>
      </c>
      <c r="B31" s="4"/>
      <c r="C31" s="4"/>
      <c r="D31" s="4"/>
      <c r="E31" s="4"/>
      <c r="F31" s="4"/>
      <c r="G31" s="5">
        <f>19.99</f>
        <v>19.989999999999998</v>
      </c>
      <c r="H31" s="5">
        <f>19.99</f>
        <v>19.989999999999998</v>
      </c>
      <c r="I31" s="5">
        <f>19.99</f>
        <v>19.989999999999998</v>
      </c>
      <c r="J31" s="5">
        <f>19.99</f>
        <v>19.989999999999998</v>
      </c>
      <c r="K31" s="5">
        <f t="shared" si="0"/>
        <v>79.959999999999994</v>
      </c>
    </row>
    <row r="32" spans="1:11" x14ac:dyDescent="0.2">
      <c r="A32" s="3" t="s">
        <v>36</v>
      </c>
      <c r="B32" s="4"/>
      <c r="C32" s="4"/>
      <c r="D32" s="4"/>
      <c r="E32" s="4"/>
      <c r="F32" s="4"/>
      <c r="G32" s="5">
        <f>50.4</f>
        <v>50.4</v>
      </c>
      <c r="H32" s="5">
        <f>79.2</f>
        <v>79.2</v>
      </c>
      <c r="I32" s="5">
        <f>79.2</f>
        <v>79.2</v>
      </c>
      <c r="J32" s="5">
        <f>79.2</f>
        <v>79.2</v>
      </c>
      <c r="K32" s="5">
        <f t="shared" si="0"/>
        <v>288</v>
      </c>
    </row>
    <row r="33" spans="1:11" x14ac:dyDescent="0.2">
      <c r="A33" s="3" t="s">
        <v>37</v>
      </c>
      <c r="B33" s="4"/>
      <c r="C33" s="4"/>
      <c r="D33" s="4"/>
      <c r="E33" s="4"/>
      <c r="F33" s="4"/>
      <c r="G33" s="5">
        <f>11.4</f>
        <v>11.4</v>
      </c>
      <c r="H33" s="5">
        <f>11.4</f>
        <v>11.4</v>
      </c>
      <c r="I33" s="5">
        <f>11.4</f>
        <v>11.4</v>
      </c>
      <c r="J33" s="5">
        <f>11.4</f>
        <v>11.4</v>
      </c>
      <c r="K33" s="5">
        <f t="shared" si="0"/>
        <v>45.6</v>
      </c>
    </row>
    <row r="34" spans="1:11" x14ac:dyDescent="0.2">
      <c r="A34" s="3" t="s">
        <v>38</v>
      </c>
      <c r="B34" s="4"/>
      <c r="C34" s="4"/>
      <c r="D34" s="4"/>
      <c r="E34" s="4"/>
      <c r="F34" s="4"/>
      <c r="G34" s="4"/>
      <c r="H34" s="5">
        <f>180.54</f>
        <v>180.54</v>
      </c>
      <c r="I34" s="5">
        <f>180.54</f>
        <v>180.54</v>
      </c>
      <c r="J34" s="5">
        <f>180.54</f>
        <v>180.54</v>
      </c>
      <c r="K34" s="5">
        <f t="shared" si="0"/>
        <v>541.62</v>
      </c>
    </row>
    <row r="35" spans="1:11" x14ac:dyDescent="0.2">
      <c r="A35" s="3" t="s">
        <v>39</v>
      </c>
      <c r="B35" s="4"/>
      <c r="C35" s="4"/>
      <c r="D35" s="4"/>
      <c r="E35" s="4"/>
      <c r="F35" s="5">
        <f>10315.38</f>
        <v>10315.379999999999</v>
      </c>
      <c r="G35" s="5">
        <f>33085.68</f>
        <v>33085.68</v>
      </c>
      <c r="H35" s="5">
        <f>32916.06</f>
        <v>32916.06</v>
      </c>
      <c r="I35" s="5">
        <f>34091.64</f>
        <v>34091.64</v>
      </c>
      <c r="J35" s="5">
        <f>34000.18</f>
        <v>34000.18</v>
      </c>
      <c r="K35" s="5">
        <f t="shared" si="0"/>
        <v>144408.94</v>
      </c>
    </row>
    <row r="36" spans="1:11" x14ac:dyDescent="0.2">
      <c r="A36" s="3" t="s">
        <v>40</v>
      </c>
      <c r="B36" s="4"/>
      <c r="C36" s="4"/>
      <c r="D36" s="4"/>
      <c r="E36" s="4"/>
      <c r="F36" s="4"/>
      <c r="G36" s="4"/>
      <c r="H36" s="5">
        <f>55.59</f>
        <v>55.59</v>
      </c>
      <c r="I36" s="5">
        <f>58.3</f>
        <v>58.3</v>
      </c>
      <c r="J36" s="4"/>
      <c r="K36" s="5">
        <f t="shared" si="0"/>
        <v>113.89</v>
      </c>
    </row>
    <row r="37" spans="1:11" x14ac:dyDescent="0.2">
      <c r="A37" s="3" t="s">
        <v>41</v>
      </c>
      <c r="B37" s="4"/>
      <c r="C37" s="4"/>
      <c r="D37" s="4"/>
      <c r="E37" s="4"/>
      <c r="F37" s="4"/>
      <c r="G37" s="4"/>
      <c r="H37" s="5">
        <f>204.73</f>
        <v>204.73</v>
      </c>
      <c r="I37" s="4"/>
      <c r="J37" s="4"/>
      <c r="K37" s="5">
        <f t="shared" si="0"/>
        <v>204.73</v>
      </c>
    </row>
    <row r="38" spans="1:11" x14ac:dyDescent="0.2">
      <c r="A38" s="3" t="s">
        <v>42</v>
      </c>
      <c r="B38" s="4"/>
      <c r="C38" s="4"/>
      <c r="D38" s="4"/>
      <c r="E38" s="4"/>
      <c r="F38" s="4"/>
      <c r="G38" s="4"/>
      <c r="H38" s="5">
        <f>45.5</f>
        <v>45.5</v>
      </c>
      <c r="I38" s="5">
        <f>45.5</f>
        <v>45.5</v>
      </c>
      <c r="J38" s="5">
        <f>45.5</f>
        <v>45.5</v>
      </c>
      <c r="K38" s="5">
        <f t="shared" ref="K38:K69" si="1">((((((((B38)+(C38))+(D38))+(E38))+(F38))+(G38))+(H38))+(I38))+(J38)</f>
        <v>136.5</v>
      </c>
    </row>
    <row r="39" spans="1:11" x14ac:dyDescent="0.2">
      <c r="A39" s="3" t="s">
        <v>43</v>
      </c>
      <c r="B39" s="4"/>
      <c r="C39" s="4"/>
      <c r="D39" s="4"/>
      <c r="E39" s="4"/>
      <c r="F39" s="4"/>
      <c r="G39" s="5">
        <f>11.62</f>
        <v>11.62</v>
      </c>
      <c r="H39" s="4"/>
      <c r="I39" s="4"/>
      <c r="J39" s="4"/>
      <c r="K39" s="5">
        <f t="shared" si="1"/>
        <v>11.62</v>
      </c>
    </row>
    <row r="40" spans="1:11" x14ac:dyDescent="0.2">
      <c r="A40" s="3" t="s">
        <v>44</v>
      </c>
      <c r="B40" s="4"/>
      <c r="C40" s="4"/>
      <c r="D40" s="4"/>
      <c r="E40" s="4"/>
      <c r="F40" s="4"/>
      <c r="G40" s="4"/>
      <c r="H40" s="4"/>
      <c r="I40" s="4"/>
      <c r="J40" s="5">
        <f>79</f>
        <v>79</v>
      </c>
      <c r="K40" s="5">
        <f t="shared" si="1"/>
        <v>79</v>
      </c>
    </row>
    <row r="41" spans="1:11" x14ac:dyDescent="0.2">
      <c r="A41" s="3" t="s">
        <v>45</v>
      </c>
      <c r="B41" s="4"/>
      <c r="C41" s="4"/>
      <c r="D41" s="4"/>
      <c r="E41" s="4"/>
      <c r="F41" s="4"/>
      <c r="G41" s="5">
        <f>959.88</f>
        <v>959.88</v>
      </c>
      <c r="H41" s="4"/>
      <c r="I41" s="4"/>
      <c r="J41" s="5">
        <f>99.99</f>
        <v>99.99</v>
      </c>
      <c r="K41" s="5">
        <f t="shared" si="1"/>
        <v>1059.8699999999999</v>
      </c>
    </row>
    <row r="42" spans="1:11" x14ac:dyDescent="0.2">
      <c r="A42" s="3" t="s">
        <v>46</v>
      </c>
      <c r="B42" s="4"/>
      <c r="C42" s="4"/>
      <c r="D42" s="4"/>
      <c r="E42" s="4"/>
      <c r="F42" s="4"/>
      <c r="G42" s="4"/>
      <c r="H42" s="5">
        <f>465.8</f>
        <v>465.8</v>
      </c>
      <c r="I42" s="5">
        <f>772.41</f>
        <v>772.41</v>
      </c>
      <c r="J42" s="5">
        <f>1017.05</f>
        <v>1017.05</v>
      </c>
      <c r="K42" s="5">
        <f t="shared" si="1"/>
        <v>2255.2600000000002</v>
      </c>
    </row>
    <row r="43" spans="1:11" x14ac:dyDescent="0.2">
      <c r="A43" s="3" t="s">
        <v>47</v>
      </c>
      <c r="B43" s="4"/>
      <c r="C43" s="4"/>
      <c r="D43" s="4"/>
      <c r="E43" s="4"/>
      <c r="F43" s="4"/>
      <c r="G43" s="5">
        <f>3600</f>
        <v>3600</v>
      </c>
      <c r="H43" s="5">
        <f>4000</f>
        <v>4000</v>
      </c>
      <c r="I43" s="5">
        <f>4000</f>
        <v>4000</v>
      </c>
      <c r="J43" s="5">
        <f>4000</f>
        <v>4000</v>
      </c>
      <c r="K43" s="5">
        <f t="shared" si="1"/>
        <v>15600</v>
      </c>
    </row>
    <row r="44" spans="1:11" x14ac:dyDescent="0.2">
      <c r="A44" s="3" t="s">
        <v>48</v>
      </c>
      <c r="B44" s="4"/>
      <c r="C44" s="4"/>
      <c r="D44" s="4"/>
      <c r="E44" s="4"/>
      <c r="F44" s="4"/>
      <c r="G44" s="5">
        <f>6</f>
        <v>6</v>
      </c>
      <c r="H44" s="5">
        <f>6</f>
        <v>6</v>
      </c>
      <c r="I44" s="5">
        <f>6</f>
        <v>6</v>
      </c>
      <c r="J44" s="5">
        <f>6</f>
        <v>6</v>
      </c>
      <c r="K44" s="5">
        <f t="shared" si="1"/>
        <v>24</v>
      </c>
    </row>
    <row r="45" spans="1:11" x14ac:dyDescent="0.2">
      <c r="A45" s="3" t="s">
        <v>49</v>
      </c>
      <c r="B45" s="4"/>
      <c r="C45" s="4"/>
      <c r="D45" s="4"/>
      <c r="E45" s="4"/>
      <c r="F45" s="4"/>
      <c r="G45" s="4"/>
      <c r="H45" s="4"/>
      <c r="I45" s="4"/>
      <c r="J45" s="5">
        <f>17.48</f>
        <v>17.48</v>
      </c>
      <c r="K45" s="5">
        <f t="shared" si="1"/>
        <v>17.48</v>
      </c>
    </row>
    <row r="46" spans="1:11" x14ac:dyDescent="0.2">
      <c r="A46" s="11" t="s">
        <v>85</v>
      </c>
      <c r="B46" s="4"/>
      <c r="C46" s="4"/>
      <c r="D46" s="4"/>
      <c r="E46" s="4"/>
      <c r="F46" s="5">
        <f>524.13</f>
        <v>524.13</v>
      </c>
      <c r="G46" s="5">
        <f>750</f>
        <v>750</v>
      </c>
      <c r="H46" s="5">
        <f>750</f>
        <v>750</v>
      </c>
      <c r="I46" s="5">
        <f>750</f>
        <v>750</v>
      </c>
      <c r="J46" s="5">
        <f>750</f>
        <v>750</v>
      </c>
      <c r="K46" s="5">
        <f t="shared" si="1"/>
        <v>3524.13</v>
      </c>
    </row>
    <row r="47" spans="1:11" x14ac:dyDescent="0.2">
      <c r="A47" s="3" t="s">
        <v>50</v>
      </c>
      <c r="B47" s="4"/>
      <c r="C47" s="4"/>
      <c r="D47" s="4"/>
      <c r="E47" s="4"/>
      <c r="F47" s="4"/>
      <c r="G47" s="4"/>
      <c r="H47" s="5">
        <f>71</f>
        <v>71</v>
      </c>
      <c r="I47" s="4"/>
      <c r="J47" s="4"/>
      <c r="K47" s="5">
        <f t="shared" si="1"/>
        <v>71</v>
      </c>
    </row>
    <row r="48" spans="1:11" x14ac:dyDescent="0.2">
      <c r="A48" s="3" t="s">
        <v>51</v>
      </c>
      <c r="B48" s="4"/>
      <c r="C48" s="4"/>
      <c r="D48" s="4"/>
      <c r="E48" s="4"/>
      <c r="F48" s="5">
        <f>8400</f>
        <v>8400</v>
      </c>
      <c r="G48" s="4"/>
      <c r="H48" s="4"/>
      <c r="I48" s="4"/>
      <c r="J48" s="4"/>
      <c r="K48" s="5">
        <f t="shared" si="1"/>
        <v>8400</v>
      </c>
    </row>
    <row r="49" spans="1:11" x14ac:dyDescent="0.2">
      <c r="A49" s="3" t="s">
        <v>52</v>
      </c>
      <c r="B49" s="4"/>
      <c r="C49" s="4"/>
      <c r="D49" s="4"/>
      <c r="E49" s="4"/>
      <c r="F49" s="5">
        <f>20</f>
        <v>20</v>
      </c>
      <c r="G49" s="5">
        <f>25.18</f>
        <v>25.18</v>
      </c>
      <c r="H49" s="5">
        <f>20</f>
        <v>20</v>
      </c>
      <c r="I49" s="5">
        <f>220</f>
        <v>220</v>
      </c>
      <c r="J49" s="5">
        <f>220</f>
        <v>220</v>
      </c>
      <c r="K49" s="5">
        <f t="shared" si="1"/>
        <v>505.18</v>
      </c>
    </row>
    <row r="50" spans="1:11" x14ac:dyDescent="0.2">
      <c r="A50" s="3" t="s">
        <v>53</v>
      </c>
      <c r="B50" s="4"/>
      <c r="C50" s="4"/>
      <c r="D50" s="4"/>
      <c r="E50" s="4"/>
      <c r="F50" s="5">
        <f>15.2</f>
        <v>15.2</v>
      </c>
      <c r="G50" s="5">
        <f>15.2</f>
        <v>15.2</v>
      </c>
      <c r="H50" s="5">
        <f>15.2</f>
        <v>15.2</v>
      </c>
      <c r="I50" s="5">
        <f>15.2</f>
        <v>15.2</v>
      </c>
      <c r="J50" s="4"/>
      <c r="K50" s="5">
        <f t="shared" si="1"/>
        <v>60.8</v>
      </c>
    </row>
    <row r="51" spans="1:11" x14ac:dyDescent="0.2">
      <c r="A51" s="3" t="s">
        <v>54</v>
      </c>
      <c r="B51" s="4"/>
      <c r="C51" s="4"/>
      <c r="D51" s="4"/>
      <c r="E51" s="4"/>
      <c r="F51" s="4"/>
      <c r="G51" s="5">
        <f>18.39</f>
        <v>18.39</v>
      </c>
      <c r="H51" s="4"/>
      <c r="I51" s="4"/>
      <c r="J51" s="4"/>
      <c r="K51" s="5">
        <f t="shared" si="1"/>
        <v>18.39</v>
      </c>
    </row>
    <row r="52" spans="1:11" x14ac:dyDescent="0.2">
      <c r="A52" s="3" t="s">
        <v>55</v>
      </c>
      <c r="B52" s="4"/>
      <c r="C52" s="4"/>
      <c r="D52" s="4"/>
      <c r="E52" s="4"/>
      <c r="F52" s="4"/>
      <c r="G52" s="4"/>
      <c r="H52" s="5">
        <f>1</f>
        <v>1</v>
      </c>
      <c r="I52" s="4"/>
      <c r="J52" s="4"/>
      <c r="K52" s="5">
        <f t="shared" si="1"/>
        <v>1</v>
      </c>
    </row>
    <row r="53" spans="1:11" x14ac:dyDescent="0.2">
      <c r="A53" s="3" t="s">
        <v>56</v>
      </c>
      <c r="B53" s="4"/>
      <c r="C53" s="4"/>
      <c r="D53" s="4"/>
      <c r="E53" s="4"/>
      <c r="F53" s="4"/>
      <c r="G53" s="4"/>
      <c r="H53" s="4"/>
      <c r="I53" s="5">
        <f>3950</f>
        <v>3950</v>
      </c>
      <c r="J53" s="4"/>
      <c r="K53" s="5">
        <f t="shared" si="1"/>
        <v>3950</v>
      </c>
    </row>
    <row r="54" spans="1:11" x14ac:dyDescent="0.2">
      <c r="A54" s="3" t="s">
        <v>57</v>
      </c>
      <c r="B54" s="4"/>
      <c r="C54" s="4"/>
      <c r="D54" s="4"/>
      <c r="E54" s="4"/>
      <c r="F54" s="5">
        <f>175</f>
        <v>175</v>
      </c>
      <c r="G54" s="5">
        <f>175</f>
        <v>175</v>
      </c>
      <c r="H54" s="5">
        <f>175</f>
        <v>175</v>
      </c>
      <c r="I54" s="5">
        <f>175</f>
        <v>175</v>
      </c>
      <c r="J54" s="5">
        <f>175</f>
        <v>175</v>
      </c>
      <c r="K54" s="5">
        <f t="shared" si="1"/>
        <v>875</v>
      </c>
    </row>
    <row r="55" spans="1:11" x14ac:dyDescent="0.2">
      <c r="A55" s="3" t="s">
        <v>58</v>
      </c>
      <c r="B55" s="4"/>
      <c r="C55" s="4"/>
      <c r="D55" s="4"/>
      <c r="E55" s="4"/>
      <c r="F55" s="4"/>
      <c r="G55" s="4"/>
      <c r="H55" s="4"/>
      <c r="I55" s="4"/>
      <c r="J55" s="5">
        <f>25</f>
        <v>25</v>
      </c>
      <c r="K55" s="5">
        <f t="shared" si="1"/>
        <v>25</v>
      </c>
    </row>
    <row r="56" spans="1:11" x14ac:dyDescent="0.2">
      <c r="A56" s="3" t="s">
        <v>59</v>
      </c>
      <c r="B56" s="4"/>
      <c r="C56" s="4"/>
      <c r="D56" s="4"/>
      <c r="E56" s="4"/>
      <c r="F56" s="4"/>
      <c r="G56" s="4"/>
      <c r="H56" s="4"/>
      <c r="I56" s="5">
        <f>32.9</f>
        <v>32.9</v>
      </c>
      <c r="J56" s="5">
        <f>55.5</f>
        <v>55.5</v>
      </c>
      <c r="K56" s="5">
        <f t="shared" si="1"/>
        <v>88.4</v>
      </c>
    </row>
    <row r="57" spans="1:11" x14ac:dyDescent="0.2">
      <c r="A57" s="3" t="s">
        <v>60</v>
      </c>
      <c r="B57" s="4"/>
      <c r="C57" s="4"/>
      <c r="D57" s="4"/>
      <c r="E57" s="4"/>
      <c r="F57" s="4"/>
      <c r="G57" s="5">
        <f>34</f>
        <v>34</v>
      </c>
      <c r="H57" s="4"/>
      <c r="I57" s="4"/>
      <c r="J57" s="4"/>
      <c r="K57" s="5">
        <f t="shared" si="1"/>
        <v>34</v>
      </c>
    </row>
    <row r="58" spans="1:11" x14ac:dyDescent="0.2">
      <c r="A58" s="3" t="s">
        <v>61</v>
      </c>
      <c r="B58" s="4"/>
      <c r="C58" s="4"/>
      <c r="D58" s="4"/>
      <c r="E58" s="4"/>
      <c r="F58" s="4"/>
      <c r="G58" s="4"/>
      <c r="H58" s="4"/>
      <c r="I58" s="4"/>
      <c r="J58" s="5">
        <f>389.59</f>
        <v>389.59</v>
      </c>
      <c r="K58" s="5">
        <f t="shared" si="1"/>
        <v>389.59</v>
      </c>
    </row>
    <row r="59" spans="1:11" x14ac:dyDescent="0.2">
      <c r="A59" s="3" t="s">
        <v>62</v>
      </c>
      <c r="B59" s="4"/>
      <c r="C59" s="4"/>
      <c r="D59" s="4"/>
      <c r="E59" s="4"/>
      <c r="F59" s="5">
        <f>24.5</f>
        <v>24.5</v>
      </c>
      <c r="G59" s="5">
        <f>24.51</f>
        <v>24.51</v>
      </c>
      <c r="H59" s="5">
        <f>24.5</f>
        <v>24.5</v>
      </c>
      <c r="I59" s="5">
        <f>24.5</f>
        <v>24.5</v>
      </c>
      <c r="J59" s="5">
        <f>24.5</f>
        <v>24.5</v>
      </c>
      <c r="K59" s="5">
        <f t="shared" si="1"/>
        <v>122.51</v>
      </c>
    </row>
    <row r="60" spans="1:11" x14ac:dyDescent="0.2">
      <c r="A60" s="3" t="s">
        <v>63</v>
      </c>
      <c r="B60" s="4"/>
      <c r="C60" s="4"/>
      <c r="D60" s="4"/>
      <c r="E60" s="4"/>
      <c r="F60" s="4"/>
      <c r="G60" s="4"/>
      <c r="H60" s="4"/>
      <c r="I60" s="5">
        <f>10</f>
        <v>10</v>
      </c>
      <c r="J60" s="4"/>
      <c r="K60" s="5">
        <f t="shared" si="1"/>
        <v>10</v>
      </c>
    </row>
    <row r="61" spans="1:11" x14ac:dyDescent="0.2">
      <c r="A61" s="3" t="s">
        <v>64</v>
      </c>
      <c r="B61" s="4"/>
      <c r="C61" s="4"/>
      <c r="D61" s="4"/>
      <c r="E61" s="4"/>
      <c r="F61" s="4"/>
      <c r="G61" s="4"/>
      <c r="H61" s="4"/>
      <c r="I61" s="4"/>
      <c r="J61" s="5">
        <f>1020.5</f>
        <v>1020.5</v>
      </c>
      <c r="K61" s="5">
        <f t="shared" si="1"/>
        <v>1020.5</v>
      </c>
    </row>
    <row r="62" spans="1:11" x14ac:dyDescent="0.2">
      <c r="A62" s="3" t="s">
        <v>65</v>
      </c>
      <c r="B62" s="4"/>
      <c r="C62" s="4"/>
      <c r="D62" s="4"/>
      <c r="E62" s="4"/>
      <c r="F62" s="4"/>
      <c r="G62" s="4"/>
      <c r="H62" s="4"/>
      <c r="I62" s="4"/>
      <c r="J62" s="5">
        <f>17.58</f>
        <v>17.579999999999998</v>
      </c>
      <c r="K62" s="5">
        <f t="shared" si="1"/>
        <v>17.579999999999998</v>
      </c>
    </row>
    <row r="63" spans="1:11" x14ac:dyDescent="0.2">
      <c r="A63" s="3" t="s">
        <v>66</v>
      </c>
      <c r="B63" s="4"/>
      <c r="C63" s="4"/>
      <c r="D63" s="4"/>
      <c r="E63" s="4"/>
      <c r="F63" s="4"/>
      <c r="G63" s="4"/>
      <c r="H63" s="4"/>
      <c r="I63" s="4"/>
      <c r="J63" s="5">
        <f>-14.22</f>
        <v>-14.22</v>
      </c>
      <c r="K63" s="5">
        <f t="shared" si="1"/>
        <v>-14.22</v>
      </c>
    </row>
    <row r="64" spans="1:11" x14ac:dyDescent="0.2">
      <c r="A64" s="3" t="s">
        <v>67</v>
      </c>
      <c r="B64" s="4"/>
      <c r="C64" s="4"/>
      <c r="D64" s="4"/>
      <c r="E64" s="4"/>
      <c r="F64" s="4"/>
      <c r="G64" s="4"/>
      <c r="H64" s="4"/>
      <c r="I64" s="4"/>
      <c r="J64" s="5">
        <f>240</f>
        <v>240</v>
      </c>
      <c r="K64" s="5">
        <f t="shared" si="1"/>
        <v>240</v>
      </c>
    </row>
    <row r="65" spans="1:11" x14ac:dyDescent="0.2">
      <c r="A65" s="3" t="s">
        <v>68</v>
      </c>
      <c r="B65" s="4"/>
      <c r="C65" s="4"/>
      <c r="D65" s="4"/>
      <c r="E65" s="4"/>
      <c r="F65" s="4"/>
      <c r="G65" s="5">
        <f>212</f>
        <v>212</v>
      </c>
      <c r="H65" s="5">
        <f>212</f>
        <v>212</v>
      </c>
      <c r="I65" s="5">
        <f>212</f>
        <v>212</v>
      </c>
      <c r="J65" s="5">
        <f>212</f>
        <v>212</v>
      </c>
      <c r="K65" s="5">
        <f t="shared" si="1"/>
        <v>848</v>
      </c>
    </row>
    <row r="66" spans="1:11" x14ac:dyDescent="0.2">
      <c r="A66" s="3" t="s">
        <v>69</v>
      </c>
      <c r="B66" s="4"/>
      <c r="C66" s="4"/>
      <c r="D66" s="4"/>
      <c r="E66" s="4"/>
      <c r="F66" s="4"/>
      <c r="G66" s="5">
        <f>12.65</f>
        <v>12.65</v>
      </c>
      <c r="H66" s="4"/>
      <c r="I66" s="4"/>
      <c r="J66" s="4"/>
      <c r="K66" s="5">
        <f t="shared" si="1"/>
        <v>12.65</v>
      </c>
    </row>
    <row r="67" spans="1:11" x14ac:dyDescent="0.2">
      <c r="A67" s="3" t="s">
        <v>70</v>
      </c>
      <c r="B67" s="4"/>
      <c r="C67" s="4"/>
      <c r="D67" s="4"/>
      <c r="E67" s="4"/>
      <c r="F67" s="4"/>
      <c r="G67" s="5">
        <f>0</f>
        <v>0</v>
      </c>
      <c r="H67" s="4"/>
      <c r="I67" s="4"/>
      <c r="J67" s="4"/>
      <c r="K67" s="5">
        <f t="shared" si="1"/>
        <v>0</v>
      </c>
    </row>
    <row r="68" spans="1:11" x14ac:dyDescent="0.2">
      <c r="A68" s="3" t="s">
        <v>71</v>
      </c>
      <c r="B68" s="4"/>
      <c r="C68" s="4"/>
      <c r="D68" s="4"/>
      <c r="E68" s="4"/>
      <c r="F68" s="4"/>
      <c r="G68" s="5">
        <f>84</f>
        <v>84</v>
      </c>
      <c r="H68" s="4"/>
      <c r="I68" s="4"/>
      <c r="J68" s="4"/>
      <c r="K68" s="5">
        <f t="shared" si="1"/>
        <v>84</v>
      </c>
    </row>
    <row r="69" spans="1:11" x14ac:dyDescent="0.2">
      <c r="A69" s="3" t="s">
        <v>72</v>
      </c>
      <c r="B69" s="4"/>
      <c r="C69" s="4"/>
      <c r="D69" s="4"/>
      <c r="E69" s="4"/>
      <c r="F69" s="4"/>
      <c r="G69" s="5">
        <f>53.51</f>
        <v>53.51</v>
      </c>
      <c r="H69" s="4"/>
      <c r="I69" s="4"/>
      <c r="J69" s="4"/>
      <c r="K69" s="5">
        <f t="shared" si="1"/>
        <v>53.51</v>
      </c>
    </row>
    <row r="70" spans="1:11" x14ac:dyDescent="0.2">
      <c r="A70" s="3" t="s">
        <v>73</v>
      </c>
      <c r="B70" s="4"/>
      <c r="C70" s="4"/>
      <c r="D70" s="4"/>
      <c r="E70" s="4"/>
      <c r="F70" s="4"/>
      <c r="G70" s="4"/>
      <c r="H70" s="4"/>
      <c r="I70" s="5">
        <f>22.72</f>
        <v>22.72</v>
      </c>
      <c r="J70" s="4"/>
      <c r="K70" s="5">
        <f t="shared" ref="K70:K101" si="2">((((((((B70)+(C70))+(D70))+(E70))+(F70))+(G70))+(H70))+(I70))+(J70)</f>
        <v>22.72</v>
      </c>
    </row>
    <row r="71" spans="1:11" x14ac:dyDescent="0.2">
      <c r="A71" s="3" t="s">
        <v>74</v>
      </c>
      <c r="B71" s="4"/>
      <c r="C71" s="4"/>
      <c r="D71" s="4"/>
      <c r="E71" s="4"/>
      <c r="F71" s="4"/>
      <c r="G71" s="5">
        <f>47.47</f>
        <v>47.47</v>
      </c>
      <c r="H71" s="4"/>
      <c r="I71" s="4"/>
      <c r="J71" s="4"/>
      <c r="K71" s="5">
        <f t="shared" si="2"/>
        <v>47.47</v>
      </c>
    </row>
    <row r="72" spans="1:11" x14ac:dyDescent="0.2">
      <c r="A72" s="3" t="s">
        <v>75</v>
      </c>
      <c r="B72" s="4"/>
      <c r="C72" s="4"/>
      <c r="D72" s="4"/>
      <c r="E72" s="4"/>
      <c r="F72" s="4"/>
      <c r="G72" s="5">
        <f>215.99</f>
        <v>215.99</v>
      </c>
      <c r="H72" s="5">
        <f>210.89</f>
        <v>210.89</v>
      </c>
      <c r="I72" s="5">
        <f>217.14</f>
        <v>217.14</v>
      </c>
      <c r="J72" s="5">
        <f>215.33</f>
        <v>215.33</v>
      </c>
      <c r="K72" s="5">
        <f t="shared" si="2"/>
        <v>859.35</v>
      </c>
    </row>
    <row r="73" spans="1:11" x14ac:dyDescent="0.2">
      <c r="A73" s="3" t="s">
        <v>76</v>
      </c>
      <c r="B73" s="4"/>
      <c r="C73" s="4"/>
      <c r="D73" s="4"/>
      <c r="E73" s="4"/>
      <c r="F73" s="5">
        <f>5</f>
        <v>5</v>
      </c>
      <c r="G73" s="4"/>
      <c r="H73" s="5">
        <f>5</f>
        <v>5</v>
      </c>
      <c r="I73" s="4"/>
      <c r="J73" s="4"/>
      <c r="K73" s="5">
        <f t="shared" si="2"/>
        <v>10</v>
      </c>
    </row>
    <row r="74" spans="1:11" x14ac:dyDescent="0.2">
      <c r="A74" s="3" t="s">
        <v>77</v>
      </c>
      <c r="B74" s="4"/>
      <c r="C74" s="4"/>
      <c r="D74" s="4"/>
      <c r="E74" s="4"/>
      <c r="F74" s="4"/>
      <c r="G74" s="5">
        <f>250</f>
        <v>250</v>
      </c>
      <c r="H74" s="5">
        <f>250</f>
        <v>250</v>
      </c>
      <c r="I74" s="5">
        <f>250</f>
        <v>250</v>
      </c>
      <c r="J74" s="5">
        <f>250</f>
        <v>250</v>
      </c>
      <c r="K74" s="5">
        <f t="shared" si="2"/>
        <v>1000</v>
      </c>
    </row>
    <row r="75" spans="1:11" x14ac:dyDescent="0.2">
      <c r="A75" s="3" t="s">
        <v>78</v>
      </c>
      <c r="B75" s="4"/>
      <c r="C75" s="4"/>
      <c r="D75" s="4"/>
      <c r="E75" s="4"/>
      <c r="F75" s="4"/>
      <c r="G75" s="5">
        <f>13.99</f>
        <v>13.99</v>
      </c>
      <c r="H75" s="4"/>
      <c r="I75" s="4"/>
      <c r="J75" s="4"/>
      <c r="K75" s="5">
        <f t="shared" si="2"/>
        <v>13.99</v>
      </c>
    </row>
    <row r="76" spans="1:11" x14ac:dyDescent="0.2">
      <c r="A76" s="3" t="s">
        <v>79</v>
      </c>
      <c r="B76" s="4"/>
      <c r="C76" s="4"/>
      <c r="D76" s="4"/>
      <c r="E76" s="4"/>
      <c r="F76" s="4"/>
      <c r="G76" s="5">
        <f>17.19</f>
        <v>17.190000000000001</v>
      </c>
      <c r="H76" s="5">
        <f>17.19</f>
        <v>17.190000000000001</v>
      </c>
      <c r="I76" s="5">
        <f>17.19</f>
        <v>17.190000000000001</v>
      </c>
      <c r="J76" s="5">
        <f>17.19</f>
        <v>17.190000000000001</v>
      </c>
      <c r="K76" s="5">
        <f t="shared" si="2"/>
        <v>68.760000000000005</v>
      </c>
    </row>
    <row r="77" spans="1:11" x14ac:dyDescent="0.2">
      <c r="A77" s="3" t="s">
        <v>80</v>
      </c>
      <c r="B77" s="4"/>
      <c r="C77" s="4"/>
      <c r="D77" s="4"/>
      <c r="E77" s="4"/>
      <c r="F77" s="5">
        <f>0</f>
        <v>0</v>
      </c>
      <c r="G77" s="5">
        <f>0</f>
        <v>0</v>
      </c>
      <c r="H77" s="4"/>
      <c r="I77" s="4"/>
      <c r="J77" s="4"/>
      <c r="K77" s="5">
        <f t="shared" si="2"/>
        <v>0</v>
      </c>
    </row>
    <row r="78" spans="1:11" x14ac:dyDescent="0.2">
      <c r="A78" s="3" t="s">
        <v>81</v>
      </c>
      <c r="B78" s="6">
        <f t="shared" ref="B78:J78" si="3">((((((((((((((((((((((((((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)+(B54))+(B55))+(B56))+(B57))+(B58))+(B59))+(B60))+(B61))+(B62))+(B63))+(B64))+(B65))+(B66))+(B67))+(B68))+(B69))+(B70))+(B71))+(B72))+(B73))+(B74))+(B75))+(B76))+(B77)</f>
        <v>0</v>
      </c>
      <c r="C78" s="6">
        <f t="shared" si="3"/>
        <v>0</v>
      </c>
      <c r="D78" s="6">
        <f t="shared" si="3"/>
        <v>0</v>
      </c>
      <c r="E78" s="6">
        <f t="shared" si="3"/>
        <v>0</v>
      </c>
      <c r="F78" s="6">
        <f t="shared" si="3"/>
        <v>19538.66</v>
      </c>
      <c r="G78" s="6">
        <f t="shared" si="3"/>
        <v>61654.020000000004</v>
      </c>
      <c r="H78" s="6">
        <f t="shared" si="3"/>
        <v>57743.58</v>
      </c>
      <c r="I78" s="6">
        <f t="shared" si="3"/>
        <v>66774.3</v>
      </c>
      <c r="J78" s="6">
        <f t="shared" si="3"/>
        <v>60673.130000000012</v>
      </c>
      <c r="K78" s="6">
        <f t="shared" si="2"/>
        <v>266383.69</v>
      </c>
    </row>
    <row r="79" spans="1:11" x14ac:dyDescent="0.2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2" spans="1:11" x14ac:dyDescent="0.2">
      <c r="A82" s="7" t="s">
        <v>82</v>
      </c>
      <c r="B82" s="8"/>
      <c r="C82" s="8"/>
      <c r="D82" s="8"/>
      <c r="E82" s="8"/>
      <c r="F82" s="8"/>
      <c r="G82" s="8"/>
      <c r="H82" s="8"/>
      <c r="I82" s="8"/>
      <c r="J82" s="8"/>
      <c r="K82" s="8"/>
    </row>
  </sheetData>
  <mergeCells count="4">
    <mergeCell ref="A82:K82"/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by Vendor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Jessica McKellar</cp:lastModifiedBy>
  <dcterms:created xsi:type="dcterms:W3CDTF">2025-03-31T04:46:02Z</dcterms:created>
  <dcterms:modified xsi:type="dcterms:W3CDTF">2025-04-01T04:48:52Z</dcterms:modified>
</cp:coreProperties>
</file>
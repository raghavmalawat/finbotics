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tess2/Desktop/ai_takehome/"/>
    </mc:Choice>
  </mc:AlternateContent>
  <xr:revisionPtr revIDLastSave="0" documentId="13_ncr:1_{512D8D0A-7F94-274F-8AB4-08548AD91F7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9" i="1" l="1"/>
  <c r="V80" i="1" s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F80" i="1" s="1"/>
  <c r="E79" i="1"/>
  <c r="E80" i="1" s="1"/>
  <c r="D79" i="1"/>
  <c r="W79" i="1" s="1"/>
  <c r="C79" i="1"/>
  <c r="B79" i="1"/>
  <c r="K78" i="1"/>
  <c r="J78" i="1"/>
  <c r="I78" i="1"/>
  <c r="W78" i="1" s="1"/>
  <c r="V76" i="1"/>
  <c r="U76" i="1"/>
  <c r="U80" i="1" s="1"/>
  <c r="T76" i="1"/>
  <c r="T80" i="1" s="1"/>
  <c r="S76" i="1"/>
  <c r="S80" i="1" s="1"/>
  <c r="R76" i="1"/>
  <c r="R80" i="1" s="1"/>
  <c r="Q76" i="1"/>
  <c r="Q80" i="1" s="1"/>
  <c r="P76" i="1"/>
  <c r="P80" i="1" s="1"/>
  <c r="O76" i="1"/>
  <c r="O80" i="1" s="1"/>
  <c r="N76" i="1"/>
  <c r="N80" i="1" s="1"/>
  <c r="M76" i="1"/>
  <c r="M80" i="1" s="1"/>
  <c r="L76" i="1"/>
  <c r="L80" i="1" s="1"/>
  <c r="F76" i="1"/>
  <c r="E76" i="1"/>
  <c r="D76" i="1"/>
  <c r="D80" i="1" s="1"/>
  <c r="C76" i="1"/>
  <c r="C80" i="1" s="1"/>
  <c r="B76" i="1"/>
  <c r="J75" i="1"/>
  <c r="I75" i="1"/>
  <c r="H75" i="1"/>
  <c r="W75" i="1" s="1"/>
  <c r="K74" i="1"/>
  <c r="K76" i="1" s="1"/>
  <c r="K80" i="1" s="1"/>
  <c r="J74" i="1"/>
  <c r="I74" i="1"/>
  <c r="H74" i="1"/>
  <c r="G74" i="1"/>
  <c r="F74" i="1"/>
  <c r="W74" i="1" s="1"/>
  <c r="J73" i="1"/>
  <c r="I73" i="1"/>
  <c r="H73" i="1"/>
  <c r="G73" i="1"/>
  <c r="W73" i="1" s="1"/>
  <c r="J72" i="1"/>
  <c r="J76" i="1" s="1"/>
  <c r="J80" i="1" s="1"/>
  <c r="I72" i="1"/>
  <c r="I76" i="1" s="1"/>
  <c r="I80" i="1" s="1"/>
  <c r="H72" i="1"/>
  <c r="H76" i="1" s="1"/>
  <c r="H80" i="1" s="1"/>
  <c r="V68" i="1"/>
  <c r="T68" i="1"/>
  <c r="D68" i="1"/>
  <c r="K67" i="1"/>
  <c r="J67" i="1"/>
  <c r="I67" i="1"/>
  <c r="H67" i="1"/>
  <c r="G67" i="1"/>
  <c r="F67" i="1"/>
  <c r="W67" i="1" s="1"/>
  <c r="V66" i="1"/>
  <c r="U66" i="1"/>
  <c r="U68" i="1" s="1"/>
  <c r="T66" i="1"/>
  <c r="S66" i="1"/>
  <c r="S68" i="1" s="1"/>
  <c r="R66" i="1"/>
  <c r="R68" i="1" s="1"/>
  <c r="Q66" i="1"/>
  <c r="Q68" i="1" s="1"/>
  <c r="E66" i="1"/>
  <c r="E68" i="1" s="1"/>
  <c r="D66" i="1"/>
  <c r="C66" i="1"/>
  <c r="C68" i="1" s="1"/>
  <c r="B66" i="1"/>
  <c r="B68" i="1" s="1"/>
  <c r="V65" i="1"/>
  <c r="U65" i="1"/>
  <c r="T65" i="1"/>
  <c r="S65" i="1"/>
  <c r="R65" i="1"/>
  <c r="Q65" i="1"/>
  <c r="P65" i="1"/>
  <c r="P66" i="1" s="1"/>
  <c r="P68" i="1" s="1"/>
  <c r="O65" i="1"/>
  <c r="O66" i="1" s="1"/>
  <c r="O68" i="1" s="1"/>
  <c r="N65" i="1"/>
  <c r="N66" i="1" s="1"/>
  <c r="N68" i="1" s="1"/>
  <c r="M65" i="1"/>
  <c r="M66" i="1" s="1"/>
  <c r="M68" i="1" s="1"/>
  <c r="L65" i="1"/>
  <c r="L66" i="1" s="1"/>
  <c r="L68" i="1" s="1"/>
  <c r="K65" i="1"/>
  <c r="J65" i="1"/>
  <c r="I65" i="1"/>
  <c r="I66" i="1" s="1"/>
  <c r="I68" i="1" s="1"/>
  <c r="H65" i="1"/>
  <c r="H66" i="1" s="1"/>
  <c r="H68" i="1" s="1"/>
  <c r="G65" i="1"/>
  <c r="G66" i="1" s="1"/>
  <c r="G68" i="1" s="1"/>
  <c r="E65" i="1"/>
  <c r="D65" i="1"/>
  <c r="C65" i="1"/>
  <c r="B65" i="1"/>
  <c r="K64" i="1"/>
  <c r="J64" i="1"/>
  <c r="I64" i="1"/>
  <c r="H64" i="1"/>
  <c r="G64" i="1"/>
  <c r="F64" i="1"/>
  <c r="F65" i="1" s="1"/>
  <c r="W63" i="1"/>
  <c r="K62" i="1"/>
  <c r="K66" i="1" s="1"/>
  <c r="K68" i="1" s="1"/>
  <c r="J62" i="1"/>
  <c r="J66" i="1" s="1"/>
  <c r="J68" i="1" s="1"/>
  <c r="I62" i="1"/>
  <c r="H62" i="1"/>
  <c r="G62" i="1"/>
  <c r="F62" i="1"/>
  <c r="W61" i="1"/>
  <c r="J60" i="1"/>
  <c r="I60" i="1"/>
  <c r="H60" i="1"/>
  <c r="G60" i="1"/>
  <c r="F60" i="1"/>
  <c r="W60" i="1" s="1"/>
  <c r="W59" i="1"/>
  <c r="T58" i="1"/>
  <c r="D58" i="1"/>
  <c r="G57" i="1"/>
  <c r="F57" i="1"/>
  <c r="W57" i="1" s="1"/>
  <c r="J56" i="1"/>
  <c r="W56" i="1" s="1"/>
  <c r="T55" i="1"/>
  <c r="S55" i="1"/>
  <c r="S58" i="1" s="1"/>
  <c r="R55" i="1"/>
  <c r="R58" i="1" s="1"/>
  <c r="Q55" i="1"/>
  <c r="Q58" i="1" s="1"/>
  <c r="P55" i="1"/>
  <c r="P58" i="1" s="1"/>
  <c r="O55" i="1"/>
  <c r="O58" i="1" s="1"/>
  <c r="D55" i="1"/>
  <c r="C55" i="1"/>
  <c r="C58" i="1" s="1"/>
  <c r="B55" i="1"/>
  <c r="V54" i="1"/>
  <c r="V55" i="1" s="1"/>
  <c r="V58" i="1" s="1"/>
  <c r="U54" i="1"/>
  <c r="U55" i="1" s="1"/>
  <c r="U58" i="1" s="1"/>
  <c r="T54" i="1"/>
  <c r="S54" i="1"/>
  <c r="R54" i="1"/>
  <c r="Q54" i="1"/>
  <c r="P54" i="1"/>
  <c r="O54" i="1"/>
  <c r="N54" i="1"/>
  <c r="N55" i="1" s="1"/>
  <c r="N58" i="1" s="1"/>
  <c r="M54" i="1"/>
  <c r="M55" i="1" s="1"/>
  <c r="M58" i="1" s="1"/>
  <c r="L54" i="1"/>
  <c r="L55" i="1" s="1"/>
  <c r="L58" i="1" s="1"/>
  <c r="K54" i="1"/>
  <c r="J54" i="1"/>
  <c r="I54" i="1"/>
  <c r="H54" i="1"/>
  <c r="G54" i="1"/>
  <c r="G55" i="1" s="1"/>
  <c r="G58" i="1" s="1"/>
  <c r="F54" i="1"/>
  <c r="F55" i="1" s="1"/>
  <c r="F58" i="1" s="1"/>
  <c r="E54" i="1"/>
  <c r="E55" i="1" s="1"/>
  <c r="E58" i="1" s="1"/>
  <c r="D54" i="1"/>
  <c r="C54" i="1"/>
  <c r="B54" i="1"/>
  <c r="K53" i="1"/>
  <c r="J53" i="1"/>
  <c r="I53" i="1"/>
  <c r="H53" i="1"/>
  <c r="G53" i="1"/>
  <c r="F53" i="1"/>
  <c r="W53" i="1" s="1"/>
  <c r="W52" i="1"/>
  <c r="K51" i="1"/>
  <c r="K55" i="1" s="1"/>
  <c r="K58" i="1" s="1"/>
  <c r="J51" i="1"/>
  <c r="J55" i="1" s="1"/>
  <c r="J58" i="1" s="1"/>
  <c r="I51" i="1"/>
  <c r="I55" i="1" s="1"/>
  <c r="I58" i="1" s="1"/>
  <c r="H51" i="1"/>
  <c r="H55" i="1" s="1"/>
  <c r="H58" i="1" s="1"/>
  <c r="G51" i="1"/>
  <c r="F51" i="1"/>
  <c r="W50" i="1"/>
  <c r="W49" i="1"/>
  <c r="G49" i="1"/>
  <c r="W48" i="1"/>
  <c r="V47" i="1"/>
  <c r="U47" i="1"/>
  <c r="T47" i="1"/>
  <c r="S47" i="1"/>
  <c r="R47" i="1"/>
  <c r="Q47" i="1"/>
  <c r="P47" i="1"/>
  <c r="O47" i="1"/>
  <c r="N47" i="1"/>
  <c r="M47" i="1"/>
  <c r="L47" i="1"/>
  <c r="J47" i="1"/>
  <c r="I47" i="1"/>
  <c r="G47" i="1"/>
  <c r="F47" i="1"/>
  <c r="E47" i="1"/>
  <c r="D47" i="1"/>
  <c r="C47" i="1"/>
  <c r="B47" i="1"/>
  <c r="K46" i="1"/>
  <c r="K47" i="1" s="1"/>
  <c r="H46" i="1"/>
  <c r="H47" i="1" s="1"/>
  <c r="W45" i="1"/>
  <c r="K43" i="1"/>
  <c r="H43" i="1"/>
  <c r="G43" i="1"/>
  <c r="W43" i="1" s="1"/>
  <c r="K42" i="1"/>
  <c r="J42" i="1"/>
  <c r="I42" i="1"/>
  <c r="H42" i="1"/>
  <c r="G42" i="1"/>
  <c r="W42" i="1" s="1"/>
  <c r="F42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W41" i="1" s="1"/>
  <c r="W40" i="1"/>
  <c r="H40" i="1"/>
  <c r="F40" i="1"/>
  <c r="V39" i="1"/>
  <c r="U39" i="1"/>
  <c r="T39" i="1"/>
  <c r="S39" i="1"/>
  <c r="R39" i="1"/>
  <c r="R44" i="1" s="1"/>
  <c r="R69" i="1" s="1"/>
  <c r="Q39" i="1"/>
  <c r="Q44" i="1" s="1"/>
  <c r="P39" i="1"/>
  <c r="P44" i="1" s="1"/>
  <c r="O39" i="1"/>
  <c r="O44" i="1" s="1"/>
  <c r="N39" i="1"/>
  <c r="N44" i="1" s="1"/>
  <c r="N69" i="1" s="1"/>
  <c r="M39" i="1"/>
  <c r="M44" i="1" s="1"/>
  <c r="L39" i="1"/>
  <c r="L44" i="1" s="1"/>
  <c r="J39" i="1"/>
  <c r="F39" i="1"/>
  <c r="E39" i="1"/>
  <c r="D39" i="1"/>
  <c r="C39" i="1"/>
  <c r="B39" i="1"/>
  <c r="B44" i="1" s="1"/>
  <c r="K38" i="1"/>
  <c r="J38" i="1"/>
  <c r="I38" i="1"/>
  <c r="H38" i="1"/>
  <c r="H39" i="1" s="1"/>
  <c r="G38" i="1"/>
  <c r="G39" i="1" s="1"/>
  <c r="K37" i="1"/>
  <c r="K39" i="1" s="1"/>
  <c r="K44" i="1" s="1"/>
  <c r="J37" i="1"/>
  <c r="I37" i="1"/>
  <c r="I39" i="1" s="1"/>
  <c r="H37" i="1"/>
  <c r="W36" i="1"/>
  <c r="J35" i="1"/>
  <c r="G35" i="1"/>
  <c r="W35" i="1" s="1"/>
  <c r="K34" i="1"/>
  <c r="J34" i="1"/>
  <c r="I34" i="1"/>
  <c r="H34" i="1"/>
  <c r="W34" i="1" s="1"/>
  <c r="V33" i="1"/>
  <c r="V44" i="1" s="1"/>
  <c r="V69" i="1" s="1"/>
  <c r="U33" i="1"/>
  <c r="U44" i="1" s="1"/>
  <c r="U69" i="1" s="1"/>
  <c r="T33" i="1"/>
  <c r="T44" i="1" s="1"/>
  <c r="S33" i="1"/>
  <c r="S44" i="1" s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E44" i="1" s="1"/>
  <c r="E69" i="1" s="1"/>
  <c r="D33" i="1"/>
  <c r="D44" i="1" s="1"/>
  <c r="D69" i="1" s="1"/>
  <c r="C33" i="1"/>
  <c r="C44" i="1" s="1"/>
  <c r="B33" i="1"/>
  <c r="K32" i="1"/>
  <c r="J32" i="1"/>
  <c r="I32" i="1"/>
  <c r="H32" i="1"/>
  <c r="G32" i="1"/>
  <c r="W32" i="1" s="1"/>
  <c r="W31" i="1"/>
  <c r="I30" i="1"/>
  <c r="G30" i="1"/>
  <c r="W30" i="1" s="1"/>
  <c r="J29" i="1"/>
  <c r="J44" i="1" s="1"/>
  <c r="I29" i="1"/>
  <c r="H29" i="1"/>
  <c r="W29" i="1" s="1"/>
  <c r="G29" i="1"/>
  <c r="F29" i="1"/>
  <c r="Q28" i="1"/>
  <c r="P28" i="1"/>
  <c r="O28" i="1"/>
  <c r="N28" i="1"/>
  <c r="M28" i="1"/>
  <c r="L28" i="1"/>
  <c r="K28" i="1"/>
  <c r="J28" i="1"/>
  <c r="I28" i="1"/>
  <c r="H28" i="1"/>
  <c r="G28" i="1"/>
  <c r="F28" i="1"/>
  <c r="F44" i="1" s="1"/>
  <c r="W27" i="1"/>
  <c r="K27" i="1"/>
  <c r="J27" i="1"/>
  <c r="I27" i="1"/>
  <c r="H27" i="1"/>
  <c r="W26" i="1"/>
  <c r="V25" i="1"/>
  <c r="U25" i="1"/>
  <c r="T25" i="1"/>
  <c r="T69" i="1" s="1"/>
  <c r="S25" i="1"/>
  <c r="S69" i="1" s="1"/>
  <c r="R25" i="1"/>
  <c r="Q25" i="1"/>
  <c r="P25" i="1"/>
  <c r="O25" i="1"/>
  <c r="N25" i="1"/>
  <c r="M25" i="1"/>
  <c r="L25" i="1"/>
  <c r="G25" i="1"/>
  <c r="F25" i="1"/>
  <c r="E25" i="1"/>
  <c r="D25" i="1"/>
  <c r="C25" i="1"/>
  <c r="B25" i="1"/>
  <c r="K24" i="1"/>
  <c r="K25" i="1" s="1"/>
  <c r="J24" i="1"/>
  <c r="J25" i="1" s="1"/>
  <c r="I24" i="1"/>
  <c r="I25" i="1" s="1"/>
  <c r="H24" i="1"/>
  <c r="H25" i="1" s="1"/>
  <c r="G24" i="1"/>
  <c r="W23" i="1"/>
  <c r="V22" i="1"/>
  <c r="U22" i="1"/>
  <c r="T22" i="1"/>
  <c r="S22" i="1"/>
  <c r="R22" i="1"/>
  <c r="Q22" i="1"/>
  <c r="P22" i="1"/>
  <c r="O22" i="1"/>
  <c r="N22" i="1"/>
  <c r="M22" i="1"/>
  <c r="L22" i="1"/>
  <c r="L69" i="1" s="1"/>
  <c r="K22" i="1"/>
  <c r="J22" i="1"/>
  <c r="J69" i="1" s="1"/>
  <c r="F22" i="1"/>
  <c r="E22" i="1"/>
  <c r="D22" i="1"/>
  <c r="C22" i="1"/>
  <c r="B22" i="1"/>
  <c r="K21" i="1"/>
  <c r="J21" i="1"/>
  <c r="G21" i="1"/>
  <c r="G22" i="1" s="1"/>
  <c r="J20" i="1"/>
  <c r="I20" i="1"/>
  <c r="H20" i="1"/>
  <c r="W20" i="1" s="1"/>
  <c r="G20" i="1"/>
  <c r="K19" i="1"/>
  <c r="J19" i="1"/>
  <c r="I19" i="1"/>
  <c r="H19" i="1"/>
  <c r="H22" i="1" s="1"/>
  <c r="K18" i="1"/>
  <c r="J18" i="1"/>
  <c r="I18" i="1"/>
  <c r="I22" i="1" s="1"/>
  <c r="W17" i="1"/>
  <c r="K16" i="1"/>
  <c r="E14" i="1"/>
  <c r="V13" i="1"/>
  <c r="U13" i="1"/>
  <c r="T13" i="1"/>
  <c r="S13" i="1"/>
  <c r="R13" i="1"/>
  <c r="Q13" i="1"/>
  <c r="P13" i="1"/>
  <c r="O13" i="1"/>
  <c r="N13" i="1"/>
  <c r="M13" i="1"/>
  <c r="L13" i="1"/>
  <c r="K13" i="1"/>
  <c r="I13" i="1"/>
  <c r="H13" i="1"/>
  <c r="G13" i="1"/>
  <c r="F13" i="1"/>
  <c r="E13" i="1"/>
  <c r="D13" i="1"/>
  <c r="C13" i="1"/>
  <c r="B13" i="1"/>
  <c r="J12" i="1"/>
  <c r="J13" i="1" s="1"/>
  <c r="F10" i="1"/>
  <c r="F14" i="1" s="1"/>
  <c r="E10" i="1"/>
  <c r="D10" i="1"/>
  <c r="D14" i="1" s="1"/>
  <c r="D70" i="1" s="1"/>
  <c r="D81" i="1" s="1"/>
  <c r="C10" i="1"/>
  <c r="C14" i="1" s="1"/>
  <c r="L9" i="1"/>
  <c r="L10" i="1" s="1"/>
  <c r="L14" i="1" s="1"/>
  <c r="L70" i="1" s="1"/>
  <c r="L81" i="1" s="1"/>
  <c r="K9" i="1"/>
  <c r="K10" i="1" s="1"/>
  <c r="K14" i="1" s="1"/>
  <c r="J9" i="1"/>
  <c r="J10" i="1" s="1"/>
  <c r="I9" i="1"/>
  <c r="I10" i="1" s="1"/>
  <c r="I14" i="1" s="1"/>
  <c r="F9" i="1"/>
  <c r="E9" i="1"/>
  <c r="D9" i="1"/>
  <c r="C9" i="1"/>
  <c r="B9" i="1"/>
  <c r="B10" i="1" s="1"/>
  <c r="V8" i="1"/>
  <c r="U8" i="1"/>
  <c r="T8" i="1"/>
  <c r="S8" i="1"/>
  <c r="R8" i="1"/>
  <c r="Q8" i="1"/>
  <c r="P8" i="1"/>
  <c r="O8" i="1"/>
  <c r="W8" i="1" s="1"/>
  <c r="N8" i="1"/>
  <c r="M8" i="1"/>
  <c r="L8" i="1"/>
  <c r="K8" i="1"/>
  <c r="J8" i="1"/>
  <c r="V7" i="1"/>
  <c r="V9" i="1" s="1"/>
  <c r="V10" i="1" s="1"/>
  <c r="V14" i="1" s="1"/>
  <c r="U7" i="1"/>
  <c r="U9" i="1" s="1"/>
  <c r="U10" i="1" s="1"/>
  <c r="U14" i="1" s="1"/>
  <c r="T7" i="1"/>
  <c r="T9" i="1" s="1"/>
  <c r="T10" i="1" s="1"/>
  <c r="T14" i="1" s="1"/>
  <c r="S7" i="1"/>
  <c r="S9" i="1" s="1"/>
  <c r="S10" i="1" s="1"/>
  <c r="S14" i="1" s="1"/>
  <c r="R7" i="1"/>
  <c r="R9" i="1" s="1"/>
  <c r="R10" i="1" s="1"/>
  <c r="R14" i="1" s="1"/>
  <c r="Q7" i="1"/>
  <c r="Q9" i="1" s="1"/>
  <c r="Q10" i="1" s="1"/>
  <c r="Q14" i="1" s="1"/>
  <c r="P7" i="1"/>
  <c r="P9" i="1" s="1"/>
  <c r="P10" i="1" s="1"/>
  <c r="P14" i="1" s="1"/>
  <c r="O7" i="1"/>
  <c r="O9" i="1" s="1"/>
  <c r="O10" i="1" s="1"/>
  <c r="O14" i="1" s="1"/>
  <c r="N7" i="1"/>
  <c r="N9" i="1" s="1"/>
  <c r="N10" i="1" s="1"/>
  <c r="N14" i="1" s="1"/>
  <c r="M7" i="1"/>
  <c r="M9" i="1" s="1"/>
  <c r="M10" i="1" s="1"/>
  <c r="M14" i="1" s="1"/>
  <c r="L7" i="1"/>
  <c r="K7" i="1"/>
  <c r="J7" i="1"/>
  <c r="I7" i="1"/>
  <c r="H7" i="1"/>
  <c r="H9" i="1" s="1"/>
  <c r="H10" i="1" s="1"/>
  <c r="H14" i="1" s="1"/>
  <c r="G7" i="1"/>
  <c r="G9" i="1" s="1"/>
  <c r="G10" i="1" s="1"/>
  <c r="G14" i="1" s="1"/>
  <c r="M69" i="1" l="1"/>
  <c r="W25" i="1"/>
  <c r="N70" i="1"/>
  <c r="N81" i="1" s="1"/>
  <c r="C69" i="1"/>
  <c r="O69" i="1"/>
  <c r="O70" i="1" s="1"/>
  <c r="O81" i="1" s="1"/>
  <c r="W47" i="1"/>
  <c r="M70" i="1"/>
  <c r="M81" i="1" s="1"/>
  <c r="R70" i="1"/>
  <c r="R81" i="1" s="1"/>
  <c r="W13" i="1"/>
  <c r="C70" i="1"/>
  <c r="C81" i="1" s="1"/>
  <c r="S70" i="1"/>
  <c r="S81" i="1" s="1"/>
  <c r="G69" i="1"/>
  <c r="U70" i="1"/>
  <c r="U81" i="1" s="1"/>
  <c r="V70" i="1"/>
  <c r="V81" i="1" s="1"/>
  <c r="E70" i="1"/>
  <c r="E81" i="1" s="1"/>
  <c r="F66" i="1"/>
  <c r="F68" i="1" s="1"/>
  <c r="F69" i="1" s="1"/>
  <c r="F70" i="1" s="1"/>
  <c r="F81" i="1" s="1"/>
  <c r="W65" i="1"/>
  <c r="B14" i="1"/>
  <c r="W10" i="1"/>
  <c r="G70" i="1"/>
  <c r="G81" i="1" s="1"/>
  <c r="K69" i="1"/>
  <c r="K70" i="1" s="1"/>
  <c r="K81" i="1" s="1"/>
  <c r="W22" i="1"/>
  <c r="G44" i="1"/>
  <c r="T70" i="1"/>
  <c r="T81" i="1" s="1"/>
  <c r="P69" i="1"/>
  <c r="P70" i="1" s="1"/>
  <c r="P81" i="1" s="1"/>
  <c r="I44" i="1"/>
  <c r="I69" i="1" s="1"/>
  <c r="I70" i="1" s="1"/>
  <c r="I81" i="1" s="1"/>
  <c r="J14" i="1"/>
  <c r="J70" i="1" s="1"/>
  <c r="J81" i="1" s="1"/>
  <c r="Q69" i="1"/>
  <c r="Q70" i="1" s="1"/>
  <c r="Q81" i="1" s="1"/>
  <c r="W55" i="1"/>
  <c r="H44" i="1"/>
  <c r="H69" i="1" s="1"/>
  <c r="H70" i="1" s="1"/>
  <c r="H81" i="1" s="1"/>
  <c r="W37" i="1"/>
  <c r="W54" i="1"/>
  <c r="W62" i="1"/>
  <c r="W33" i="1"/>
  <c r="W46" i="1"/>
  <c r="W72" i="1"/>
  <c r="W51" i="1"/>
  <c r="B80" i="1"/>
  <c r="W16" i="1"/>
  <c r="W24" i="1"/>
  <c r="W21" i="1"/>
  <c r="G76" i="1"/>
  <c r="G80" i="1" s="1"/>
  <c r="W38" i="1"/>
  <c r="W7" i="1"/>
  <c r="W28" i="1"/>
  <c r="W39" i="1"/>
  <c r="W66" i="1"/>
  <c r="W9" i="1"/>
  <c r="W19" i="1"/>
  <c r="B58" i="1"/>
  <c r="W58" i="1" s="1"/>
  <c r="W12" i="1"/>
  <c r="W18" i="1"/>
  <c r="W64" i="1"/>
  <c r="B69" i="1" l="1"/>
  <c r="W69" i="1" s="1"/>
  <c r="W14" i="1"/>
  <c r="W80" i="1"/>
  <c r="W44" i="1"/>
  <c r="W68" i="1"/>
  <c r="W76" i="1"/>
  <c r="B70" i="1" l="1"/>
  <c r="W70" i="1" l="1"/>
  <c r="B81" i="1"/>
  <c r="W81" i="1" s="1"/>
</calcChain>
</file>

<file path=xl/sharedStrings.xml><?xml version="1.0" encoding="utf-8"?>
<sst xmlns="http://schemas.openxmlformats.org/spreadsheetml/2006/main" count="102" uniqueCount="102">
  <si>
    <t>Jun 14-30,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</si>
  <si>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</si>
  <si>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</si>
  <si>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</si>
  <si>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</si>
  <si>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</si>
  <si>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</si>
  <si>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</si>
  <si>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</si>
  <si>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</si>
  <si>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</si>
  <si>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</si>
  <si>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</si>
  <si>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</si>
  <si>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</si>
  <si>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</si>
  <si>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</si>
  <si>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</si>
  <si>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</si>
  <si>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</si>
  <si>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</si>
  <si>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Total</t>
  </si>
  <si>
    <t>Income</t>
  </si>
  <si>
    <t xml:space="preserve">   Insights Enterprise Revenue</t>
  </si>
  <si>
    <t xml:space="preserve">      Returns, Allowances, and Discounts</t>
  </si>
  <si>
    <t xml:space="preserve">   Total Insights Enterprise Revenue</t>
  </si>
  <si>
    <t>Total Income</t>
  </si>
  <si>
    <t>Cost of Goods Sold</t>
  </si>
  <si>
    <t xml:space="preserve">   Merchant Fees</t>
  </si>
  <si>
    <t>Total Cost of Goods Sold</t>
  </si>
  <si>
    <t>Gross Profit</t>
  </si>
  <si>
    <t>Expenses</t>
  </si>
  <si>
    <t xml:space="preserve">   Categorization Pending</t>
  </si>
  <si>
    <t xml:space="preserve">   Employee Related</t>
  </si>
  <si>
    <t xml:space="preserve">      401(K) Expense</t>
  </si>
  <si>
    <t xml:space="preserve">      Health Insurance</t>
  </si>
  <si>
    <t xml:space="preserve">      Payroll &amp; Benefits Administration</t>
  </si>
  <si>
    <t xml:space="preserve">      Recruiting</t>
  </si>
  <si>
    <t xml:space="preserve">   Total Employee Related</t>
  </si>
  <si>
    <t xml:space="preserve">   Facilities</t>
  </si>
  <si>
    <t xml:space="preserve">      Rent</t>
  </si>
  <si>
    <t xml:space="preserve">   Total Facilities</t>
  </si>
  <si>
    <t xml:space="preserve">   General &amp; Administrative</t>
  </si>
  <si>
    <t xml:space="preserve">      Bank Fees</t>
  </si>
  <si>
    <t xml:space="preserve">      Business Insurance</t>
  </si>
  <si>
    <t xml:space="preserve">      Contractors - G&amp;A</t>
  </si>
  <si>
    <t xml:space="preserve">      Licenses and Fees</t>
  </si>
  <si>
    <t xml:space="preserve">      Meals &amp; Entertainment</t>
  </si>
  <si>
    <t xml:space="preserve">         Meals</t>
  </si>
  <si>
    <t xml:space="preserve">      Total Meals &amp; Entertainment</t>
  </si>
  <si>
    <t xml:space="preserve">      Office Expenses</t>
  </si>
  <si>
    <t xml:space="preserve">      Professional Development</t>
  </si>
  <si>
    <t xml:space="preserve">      Professional Fees</t>
  </si>
  <si>
    <t xml:space="preserve">         Finance &amp; Accounting</t>
  </si>
  <si>
    <t xml:space="preserve">         Legal</t>
  </si>
  <si>
    <t xml:space="preserve">      Total Professional Fees</t>
  </si>
  <si>
    <t xml:space="preserve">      Shipping and Handling</t>
  </si>
  <si>
    <t xml:space="preserve">      Software &amp; Web Services - G&amp;A</t>
  </si>
  <si>
    <t xml:space="preserve">      Telephone and Internet</t>
  </si>
  <si>
    <t xml:space="preserve">      Travel - G&amp;A</t>
  </si>
  <si>
    <t xml:space="preserve">   Total General &amp; Administrative</t>
  </si>
  <si>
    <t xml:space="preserve">   IT Expense</t>
  </si>
  <si>
    <t xml:space="preserve">      Computer Hardware &amp; Equipment</t>
  </si>
  <si>
    <t xml:space="preserve">   Total IT Expense</t>
  </si>
  <si>
    <t xml:space="preserve">   Sales &amp; Marketing</t>
  </si>
  <si>
    <t xml:space="preserve">      Advertising</t>
  </si>
  <si>
    <t xml:space="preserve">      Payroll - S&amp;M</t>
  </si>
  <si>
    <t xml:space="preserve">         Employer Payroll Taxes - S&amp;M</t>
  </si>
  <si>
    <t xml:space="preserve">         Salaries &amp; Wages - S&amp;M</t>
  </si>
  <si>
    <t xml:space="preserve">            Regular Payroll - S&amp;M</t>
  </si>
  <si>
    <t xml:space="preserve">         Total Salaries &amp; Wages - S&amp;M</t>
  </si>
  <si>
    <t xml:space="preserve">      Total Payroll - S&amp;M</t>
  </si>
  <si>
    <t xml:space="preserve">      Public Relations</t>
  </si>
  <si>
    <t xml:space="preserve">      Software &amp; Web Services - S&amp;M</t>
  </si>
  <si>
    <t xml:space="preserve">   Total Sales &amp; Marketing</t>
  </si>
  <si>
    <t xml:space="preserve">   Technology &amp; Development</t>
  </si>
  <si>
    <t xml:space="preserve">      Contractors - T&amp;D</t>
  </si>
  <si>
    <t xml:space="preserve">      Payroll - T&amp;D</t>
  </si>
  <si>
    <t xml:space="preserve">         Employer Payroll Taxes - T&amp;D</t>
  </si>
  <si>
    <t xml:space="preserve">         Salaries &amp; Wages - T&amp;D</t>
  </si>
  <si>
    <t xml:space="preserve">            Regular Payroll - T&amp;D</t>
  </si>
  <si>
    <t xml:space="preserve">         Total Salaries &amp; Wages - T&amp;D</t>
  </si>
  <si>
    <t xml:space="preserve">      Total Payroll - T&amp;D</t>
  </si>
  <si>
    <t xml:space="preserve">      Software &amp; Web Services - T&amp;D</t>
  </si>
  <si>
    <t xml:space="preserve">   Total Technology &amp; Development</t>
  </si>
  <si>
    <t>Total Expenses</t>
  </si>
  <si>
    <t>Net Operating Income</t>
  </si>
  <si>
    <t>Other Income</t>
  </si>
  <si>
    <t xml:space="preserve">   Dividend Income</t>
  </si>
  <si>
    <t xml:space="preserve">   Interest Earned</t>
  </si>
  <si>
    <t xml:space="preserve">   Other Income</t>
  </si>
  <si>
    <t xml:space="preserve">   Unrealized Gain/Loss</t>
  </si>
  <si>
    <t>Total Other Income</t>
  </si>
  <si>
    <t>Other Expenses</t>
  </si>
  <si>
    <t xml:space="preserve">   Taxes</t>
  </si>
  <si>
    <t>Total Other Expenses</t>
  </si>
  <si>
    <t>Net Other Income</t>
  </si>
  <si>
    <t>Net Income</t>
  </si>
  <si>
    <t>Sunday, Mar 30, 2025 09:44:49 PM GMT-7 - Accrual Basis</t>
  </si>
  <si>
    <t>Profit and Loss</t>
  </si>
  <si>
    <t>All Dates</t>
  </si>
  <si>
    <t>Acme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</si>
</sst>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"/>
  <sheetViews>
    <sheetView tabSelected="1" workbookViewId="0">
      <selection activeCell="A2" sqref="A2:W2"/>
    </sheetView>
  </sheetViews>
  <sheetFormatPr baseColWidth="10" defaultColWidth="8.83203125" defaultRowHeight="15" x14ac:dyDescent="0.2"/>
  <cols>
    <col min="1" max="1" width="35.1640625" customWidth="1"/>
    <col min="2" max="5" width="7.6640625" customWidth="1"/>
    <col min="6" max="11" width="11.1640625" customWidth="1"/>
    <col min="12" max="19" width="8.6640625" customWidth="1"/>
    <col min="20" max="22" width="7.6640625" customWidth="1"/>
    <col min="23" max="23" width="12" customWidth="1"/>
  </cols>
  <sheetData>
    <row r="1" spans="1:23" ht="18" x14ac:dyDescent="0.2">
      <c r="A1" s="10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8" x14ac:dyDescent="0.2">
      <c r="A2" s="10" t="s">
        <v>99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2">
      <c r="A3" s="11" t="s">
        <v>100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5" spans="1:23" ht="27" x14ac:dyDescent="0.2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</row>
    <row r="6" spans="1:23" x14ac:dyDescent="0.2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">
      <c r="A7" s="3" t="s">
        <v>23</v>
      </c>
      <c r="B7" s="4"/>
      <c r="C7" s="4"/>
      <c r="D7" s="4"/>
      <c r="E7" s="4"/>
      <c r="F7" s="4"/>
      <c r="G7" s="5">
        <f>875.02</f>
        <v>875.02</v>
      </c>
      <c r="H7" s="5">
        <f>1764.67</f>
        <v>1764.67</v>
      </c>
      <c r="I7" s="5">
        <f>2324.35</f>
        <v>2324.35</v>
      </c>
      <c r="J7" s="5">
        <f>2515.63</f>
        <v>2515.63</v>
      </c>
      <c r="K7" s="5">
        <f>2416.08</f>
        <v>2416.08</v>
      </c>
      <c r="L7" s="5">
        <f>2338.14</f>
        <v>2338.14</v>
      </c>
      <c r="M7" s="5">
        <f>2416.08</f>
        <v>2416.08</v>
      </c>
      <c r="N7" s="5">
        <f>2338.14</f>
        <v>2338.14</v>
      </c>
      <c r="O7" s="5">
        <f>2416.08</f>
        <v>2416.08</v>
      </c>
      <c r="P7" s="5">
        <f>2416.08</f>
        <v>2416.08</v>
      </c>
      <c r="Q7" s="5">
        <f>2338.14</f>
        <v>2338.14</v>
      </c>
      <c r="R7" s="5">
        <f>2416.08</f>
        <v>2416.08</v>
      </c>
      <c r="S7" s="5">
        <f>2338.13</f>
        <v>2338.13</v>
      </c>
      <c r="T7" s="5">
        <f>826.4</f>
        <v>826.4</v>
      </c>
      <c r="U7" s="5">
        <f>91.72</f>
        <v>91.72</v>
      </c>
      <c r="V7" s="5">
        <f>26.61</f>
        <v>26.61</v>
      </c>
      <c r="W7" s="5">
        <f>((((((((((((((((((((B7)+(C7))+(D7))+(E7))+(F7))+(G7))+(H7))+(I7))+(J7))+(K7))+(L7))+(M7))+(N7))+(O7))+(P7))+(Q7))+(R7))+(S7))+(T7))+(U7))+(V7)</f>
        <v>29857.350000000009</v>
      </c>
    </row>
    <row r="8" spans="1:23" x14ac:dyDescent="0.2">
      <c r="A8" s="3" t="s">
        <v>24</v>
      </c>
      <c r="B8" s="4"/>
      <c r="C8" s="4"/>
      <c r="D8" s="4"/>
      <c r="E8" s="4"/>
      <c r="F8" s="4"/>
      <c r="G8" s="4"/>
      <c r="H8" s="4"/>
      <c r="I8" s="4"/>
      <c r="J8" s="5">
        <f>-77.92</f>
        <v>-77.92</v>
      </c>
      <c r="K8" s="5">
        <f>-25.48</f>
        <v>-25.48</v>
      </c>
      <c r="L8" s="5">
        <f>-24.66</f>
        <v>-24.66</v>
      </c>
      <c r="M8" s="5">
        <f>-25.48</f>
        <v>-25.48</v>
      </c>
      <c r="N8" s="5">
        <f>-24.66</f>
        <v>-24.66</v>
      </c>
      <c r="O8" s="5">
        <f>-25.48</f>
        <v>-25.48</v>
      </c>
      <c r="P8" s="5">
        <f>-25.48</f>
        <v>-25.48</v>
      </c>
      <c r="Q8" s="5">
        <f>-24.66</f>
        <v>-24.66</v>
      </c>
      <c r="R8" s="5">
        <f>-25.48</f>
        <v>-25.48</v>
      </c>
      <c r="S8" s="5">
        <f>-24.66</f>
        <v>-24.66</v>
      </c>
      <c r="T8" s="5">
        <f>-25.48</f>
        <v>-25.48</v>
      </c>
      <c r="U8" s="5">
        <f>-25.47</f>
        <v>-25.47</v>
      </c>
      <c r="V8" s="5">
        <f>-5.09</f>
        <v>-5.09</v>
      </c>
      <c r="W8" s="5">
        <f>((((((((((((((((((((B8)+(C8))+(D8))+(E8))+(F8))+(G8))+(H8))+(I8))+(J8))+(K8))+(L8))+(M8))+(N8))+(O8))+(P8))+(Q8))+(R8))+(S8))+(T8))+(U8))+(V8)</f>
        <v>-359.99999999999994</v>
      </c>
    </row>
    <row r="9" spans="1:23" x14ac:dyDescent="0.2">
      <c r="A9" s="3" t="s">
        <v>25</v>
      </c>
      <c r="B9" s="6">
        <f t="shared" ref="B9:V9" si="0">(B7)+(B8)</f>
        <v>0</v>
      </c>
      <c r="C9" s="6">
        <f t="shared" si="0"/>
        <v>0</v>
      </c>
      <c r="D9" s="6">
        <f t="shared" si="0"/>
        <v>0</v>
      </c>
      <c r="E9" s="6">
        <f t="shared" si="0"/>
        <v>0</v>
      </c>
      <c r="F9" s="6">
        <f t="shared" si="0"/>
        <v>0</v>
      </c>
      <c r="G9" s="6">
        <f t="shared" si="0"/>
        <v>875.02</v>
      </c>
      <c r="H9" s="6">
        <f t="shared" si="0"/>
        <v>1764.67</v>
      </c>
      <c r="I9" s="6">
        <f t="shared" si="0"/>
        <v>2324.35</v>
      </c>
      <c r="J9" s="6">
        <f t="shared" si="0"/>
        <v>2437.71</v>
      </c>
      <c r="K9" s="6">
        <f t="shared" si="0"/>
        <v>2390.6</v>
      </c>
      <c r="L9" s="6">
        <f t="shared" si="0"/>
        <v>2313.48</v>
      </c>
      <c r="M9" s="6">
        <f t="shared" si="0"/>
        <v>2390.6</v>
      </c>
      <c r="N9" s="6">
        <f t="shared" si="0"/>
        <v>2313.48</v>
      </c>
      <c r="O9" s="6">
        <f t="shared" si="0"/>
        <v>2390.6</v>
      </c>
      <c r="P9" s="6">
        <f t="shared" si="0"/>
        <v>2390.6</v>
      </c>
      <c r="Q9" s="6">
        <f t="shared" si="0"/>
        <v>2313.48</v>
      </c>
      <c r="R9" s="6">
        <f t="shared" si="0"/>
        <v>2390.6</v>
      </c>
      <c r="S9" s="6">
        <f t="shared" si="0"/>
        <v>2313.4700000000003</v>
      </c>
      <c r="T9" s="6">
        <f t="shared" si="0"/>
        <v>800.92</v>
      </c>
      <c r="U9" s="6">
        <f t="shared" si="0"/>
        <v>66.25</v>
      </c>
      <c r="V9" s="6">
        <f t="shared" si="0"/>
        <v>21.52</v>
      </c>
      <c r="W9" s="6">
        <f>((((((((((((((((((((B9)+(C9))+(D9))+(E9))+(F9))+(G9))+(H9))+(I9))+(J9))+(K9))+(L9))+(M9))+(N9))+(O9))+(P9))+(Q9))+(R9))+(S9))+(T9))+(U9))+(V9)</f>
        <v>29497.349999999995</v>
      </c>
    </row>
    <row r="10" spans="1:23" x14ac:dyDescent="0.2">
      <c r="A10" s="3" t="s">
        <v>26</v>
      </c>
      <c r="B10" s="6">
        <f t="shared" ref="B10:V10" si="1">B9</f>
        <v>0</v>
      </c>
      <c r="C10" s="6">
        <f t="shared" si="1"/>
        <v>0</v>
      </c>
      <c r="D10" s="6">
        <f t="shared" si="1"/>
        <v>0</v>
      </c>
      <c r="E10" s="6">
        <f t="shared" si="1"/>
        <v>0</v>
      </c>
      <c r="F10" s="6">
        <f t="shared" si="1"/>
        <v>0</v>
      </c>
      <c r="G10" s="6">
        <f t="shared" si="1"/>
        <v>875.02</v>
      </c>
      <c r="H10" s="6">
        <f t="shared" si="1"/>
        <v>1764.67</v>
      </c>
      <c r="I10" s="6">
        <f t="shared" si="1"/>
        <v>2324.35</v>
      </c>
      <c r="J10" s="6">
        <f t="shared" si="1"/>
        <v>2437.71</v>
      </c>
      <c r="K10" s="6">
        <f t="shared" si="1"/>
        <v>2390.6</v>
      </c>
      <c r="L10" s="6">
        <f t="shared" si="1"/>
        <v>2313.48</v>
      </c>
      <c r="M10" s="6">
        <f t="shared" si="1"/>
        <v>2390.6</v>
      </c>
      <c r="N10" s="6">
        <f t="shared" si="1"/>
        <v>2313.48</v>
      </c>
      <c r="O10" s="6">
        <f t="shared" si="1"/>
        <v>2390.6</v>
      </c>
      <c r="P10" s="6">
        <f t="shared" si="1"/>
        <v>2390.6</v>
      </c>
      <c r="Q10" s="6">
        <f t="shared" si="1"/>
        <v>2313.48</v>
      </c>
      <c r="R10" s="6">
        <f t="shared" si="1"/>
        <v>2390.6</v>
      </c>
      <c r="S10" s="6">
        <f t="shared" si="1"/>
        <v>2313.4700000000003</v>
      </c>
      <c r="T10" s="6">
        <f t="shared" si="1"/>
        <v>800.92</v>
      </c>
      <c r="U10" s="6">
        <f t="shared" si="1"/>
        <v>66.25</v>
      </c>
      <c r="V10" s="6">
        <f t="shared" si="1"/>
        <v>21.52</v>
      </c>
      <c r="W10" s="6">
        <f>((((((((((((((((((((B10)+(C10))+(D10))+(E10))+(F10))+(G10))+(H10))+(I10))+(J10))+(K10))+(L10))+(M10))+(N10))+(O10))+(P10))+(Q10))+(R10))+(S10))+(T10))+(U10))+(V10)</f>
        <v>29497.349999999995</v>
      </c>
    </row>
    <row r="11" spans="1:23" x14ac:dyDescent="0.2">
      <c r="A11" s="3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">
      <c r="A12" s="3" t="s">
        <v>28</v>
      </c>
      <c r="B12" s="4"/>
      <c r="C12" s="4"/>
      <c r="D12" s="4"/>
      <c r="E12" s="4"/>
      <c r="F12" s="4"/>
      <c r="G12" s="4"/>
      <c r="H12" s="4"/>
      <c r="I12" s="4"/>
      <c r="J12" s="5">
        <f>3.36</f>
        <v>3.36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>
        <f>((((((((((((((((((((B12)+(C12))+(D12))+(E12))+(F12))+(G12))+(H12))+(I12))+(J12))+(K12))+(L12))+(M12))+(N12))+(O12))+(P12))+(Q12))+(R12))+(S12))+(T12))+(U12))+(V12)</f>
        <v>3.36</v>
      </c>
    </row>
    <row r="13" spans="1:23" x14ac:dyDescent="0.2">
      <c r="A13" s="3" t="s">
        <v>29</v>
      </c>
      <c r="B13" s="6">
        <f t="shared" ref="B13:V13" si="2">B12</f>
        <v>0</v>
      </c>
      <c r="C13" s="6">
        <f t="shared" si="2"/>
        <v>0</v>
      </c>
      <c r="D13" s="6">
        <f t="shared" si="2"/>
        <v>0</v>
      </c>
      <c r="E13" s="6">
        <f t="shared" si="2"/>
        <v>0</v>
      </c>
      <c r="F13" s="6">
        <f t="shared" si="2"/>
        <v>0</v>
      </c>
      <c r="G13" s="6">
        <f t="shared" si="2"/>
        <v>0</v>
      </c>
      <c r="H13" s="6">
        <f t="shared" si="2"/>
        <v>0</v>
      </c>
      <c r="I13" s="6">
        <f t="shared" si="2"/>
        <v>0</v>
      </c>
      <c r="J13" s="6">
        <f t="shared" si="2"/>
        <v>3.36</v>
      </c>
      <c r="K13" s="6">
        <f t="shared" si="2"/>
        <v>0</v>
      </c>
      <c r="L13" s="6">
        <f t="shared" si="2"/>
        <v>0</v>
      </c>
      <c r="M13" s="6">
        <f t="shared" si="2"/>
        <v>0</v>
      </c>
      <c r="N13" s="6">
        <f t="shared" si="2"/>
        <v>0</v>
      </c>
      <c r="O13" s="6">
        <f t="shared" si="2"/>
        <v>0</v>
      </c>
      <c r="P13" s="6">
        <f t="shared" si="2"/>
        <v>0</v>
      </c>
      <c r="Q13" s="6">
        <f t="shared" si="2"/>
        <v>0</v>
      </c>
      <c r="R13" s="6">
        <f t="shared" si="2"/>
        <v>0</v>
      </c>
      <c r="S13" s="6">
        <f t="shared" si="2"/>
        <v>0</v>
      </c>
      <c r="T13" s="6">
        <f t="shared" si="2"/>
        <v>0</v>
      </c>
      <c r="U13" s="6">
        <f t="shared" si="2"/>
        <v>0</v>
      </c>
      <c r="V13" s="6">
        <f t="shared" si="2"/>
        <v>0</v>
      </c>
      <c r="W13" s="6">
        <f>((((((((((((((((((((B13)+(C13))+(D13))+(E13))+(F13))+(G13))+(H13))+(I13))+(J13))+(K13))+(L13))+(M13))+(N13))+(O13))+(P13))+(Q13))+(R13))+(S13))+(T13))+(U13))+(V13)</f>
        <v>3.36</v>
      </c>
    </row>
    <row r="14" spans="1:23" x14ac:dyDescent="0.2">
      <c r="A14" s="3" t="s">
        <v>30</v>
      </c>
      <c r="B14" s="6">
        <f t="shared" ref="B14:V14" si="3">(B10)-(B13)</f>
        <v>0</v>
      </c>
      <c r="C14" s="6">
        <f t="shared" si="3"/>
        <v>0</v>
      </c>
      <c r="D14" s="6">
        <f t="shared" si="3"/>
        <v>0</v>
      </c>
      <c r="E14" s="6">
        <f t="shared" si="3"/>
        <v>0</v>
      </c>
      <c r="F14" s="6">
        <f t="shared" si="3"/>
        <v>0</v>
      </c>
      <c r="G14" s="6">
        <f t="shared" si="3"/>
        <v>875.02</v>
      </c>
      <c r="H14" s="6">
        <f t="shared" si="3"/>
        <v>1764.67</v>
      </c>
      <c r="I14" s="6">
        <f t="shared" si="3"/>
        <v>2324.35</v>
      </c>
      <c r="J14" s="6">
        <f t="shared" si="3"/>
        <v>2434.35</v>
      </c>
      <c r="K14" s="6">
        <f t="shared" si="3"/>
        <v>2390.6</v>
      </c>
      <c r="L14" s="6">
        <f t="shared" si="3"/>
        <v>2313.48</v>
      </c>
      <c r="M14" s="6">
        <f t="shared" si="3"/>
        <v>2390.6</v>
      </c>
      <c r="N14" s="6">
        <f t="shared" si="3"/>
        <v>2313.48</v>
      </c>
      <c r="O14" s="6">
        <f t="shared" si="3"/>
        <v>2390.6</v>
      </c>
      <c r="P14" s="6">
        <f t="shared" si="3"/>
        <v>2390.6</v>
      </c>
      <c r="Q14" s="6">
        <f t="shared" si="3"/>
        <v>2313.48</v>
      </c>
      <c r="R14" s="6">
        <f t="shared" si="3"/>
        <v>2390.6</v>
      </c>
      <c r="S14" s="6">
        <f t="shared" si="3"/>
        <v>2313.4700000000003</v>
      </c>
      <c r="T14" s="6">
        <f t="shared" si="3"/>
        <v>800.92</v>
      </c>
      <c r="U14" s="6">
        <f t="shared" si="3"/>
        <v>66.25</v>
      </c>
      <c r="V14" s="6">
        <f t="shared" si="3"/>
        <v>21.52</v>
      </c>
      <c r="W14" s="6">
        <f>((((((((((((((((((((B14)+(C14))+(D14))+(E14))+(F14))+(G14))+(H14))+(I14))+(J14))+(K14))+(L14))+(M14))+(N14))+(O14))+(P14))+(Q14))+(R14))+(S14))+(T14))+(U14))+(V14)</f>
        <v>29493.989999999994</v>
      </c>
    </row>
    <row r="15" spans="1:23" x14ac:dyDescent="0.2">
      <c r="A15" s="3" t="s">
        <v>31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">
      <c r="A16" s="3" t="s">
        <v>32</v>
      </c>
      <c r="B16" s="4"/>
      <c r="C16" s="4"/>
      <c r="D16" s="4"/>
      <c r="E16" s="4"/>
      <c r="F16" s="4"/>
      <c r="G16" s="4"/>
      <c r="H16" s="4"/>
      <c r="I16" s="4"/>
      <c r="J16" s="4"/>
      <c r="K16" s="5">
        <f>-19615.39</f>
        <v>-19615.39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>
        <f t="shared" ref="W16:W47" si="4">((((((((((((((((((((B16)+(C16))+(D16))+(E16))+(F16))+(G16))+(H16))+(I16))+(J16))+(K16))+(L16))+(M16))+(N16))+(O16))+(P16))+(Q16))+(R16))+(S16))+(T16))+(U16))+(V16)</f>
        <v>-19615.39</v>
      </c>
    </row>
    <row r="17" spans="1:23" x14ac:dyDescent="0.2">
      <c r="A17" s="3" t="s">
        <v>33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>
        <f t="shared" si="4"/>
        <v>0</v>
      </c>
    </row>
    <row r="18" spans="1:23" x14ac:dyDescent="0.2">
      <c r="A18" s="3" t="s">
        <v>34</v>
      </c>
      <c r="B18" s="4"/>
      <c r="C18" s="4"/>
      <c r="D18" s="4"/>
      <c r="E18" s="4"/>
      <c r="F18" s="4"/>
      <c r="G18" s="4"/>
      <c r="H18" s="4"/>
      <c r="I18" s="5">
        <f>608.33</f>
        <v>608.33000000000004</v>
      </c>
      <c r="J18" s="5">
        <f>1216.66</f>
        <v>1216.6600000000001</v>
      </c>
      <c r="K18" s="5">
        <f>1100</f>
        <v>1100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>
        <f t="shared" si="4"/>
        <v>2924.9900000000002</v>
      </c>
    </row>
    <row r="19" spans="1:23" x14ac:dyDescent="0.2">
      <c r="A19" s="3" t="s">
        <v>35</v>
      </c>
      <c r="B19" s="4"/>
      <c r="C19" s="4"/>
      <c r="D19" s="4"/>
      <c r="E19" s="4"/>
      <c r="F19" s="4"/>
      <c r="G19" s="4"/>
      <c r="H19" s="5">
        <f>2489.99</f>
        <v>2489.9899999999998</v>
      </c>
      <c r="I19" s="5">
        <f>2489.99</f>
        <v>2489.9899999999998</v>
      </c>
      <c r="J19" s="5">
        <f>2489.99</f>
        <v>2489.9899999999998</v>
      </c>
      <c r="K19" s="5">
        <f>5798.27</f>
        <v>5798.27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>
        <f t="shared" si="4"/>
        <v>13268.24</v>
      </c>
    </row>
    <row r="20" spans="1:23" x14ac:dyDescent="0.2">
      <c r="A20" s="3" t="s">
        <v>36</v>
      </c>
      <c r="B20" s="4"/>
      <c r="C20" s="4"/>
      <c r="D20" s="4"/>
      <c r="E20" s="4"/>
      <c r="F20" s="4"/>
      <c r="G20" s="5">
        <f>204</f>
        <v>204</v>
      </c>
      <c r="H20" s="5">
        <f>5</f>
        <v>5</v>
      </c>
      <c r="I20" s="5">
        <f>5</f>
        <v>5</v>
      </c>
      <c r="J20" s="5">
        <f>5</f>
        <v>5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>
        <f t="shared" si="4"/>
        <v>219</v>
      </c>
    </row>
    <row r="21" spans="1:23" x14ac:dyDescent="0.2">
      <c r="A21" s="3" t="s">
        <v>37</v>
      </c>
      <c r="B21" s="4"/>
      <c r="C21" s="4"/>
      <c r="D21" s="4"/>
      <c r="E21" s="4"/>
      <c r="F21" s="4"/>
      <c r="G21" s="5">
        <f>959.88</f>
        <v>959.88</v>
      </c>
      <c r="H21" s="4"/>
      <c r="I21" s="4"/>
      <c r="J21" s="5">
        <f>99.99</f>
        <v>99.99</v>
      </c>
      <c r="K21" s="5">
        <f>399.98</f>
        <v>399.98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>
        <f t="shared" si="4"/>
        <v>1459.85</v>
      </c>
    </row>
    <row r="22" spans="1:23" x14ac:dyDescent="0.2">
      <c r="A22" s="3" t="s">
        <v>38</v>
      </c>
      <c r="B22" s="6">
        <f t="shared" ref="B22:V22" si="5">((((B17)+(B18))+(B19))+(B20))+(B21)</f>
        <v>0</v>
      </c>
      <c r="C22" s="6">
        <f t="shared" si="5"/>
        <v>0</v>
      </c>
      <c r="D22" s="6">
        <f t="shared" si="5"/>
        <v>0</v>
      </c>
      <c r="E22" s="6">
        <f t="shared" si="5"/>
        <v>0</v>
      </c>
      <c r="F22" s="6">
        <f t="shared" si="5"/>
        <v>0</v>
      </c>
      <c r="G22" s="6">
        <f t="shared" si="5"/>
        <v>1163.8800000000001</v>
      </c>
      <c r="H22" s="6">
        <f t="shared" si="5"/>
        <v>2494.9899999999998</v>
      </c>
      <c r="I22" s="6">
        <f t="shared" si="5"/>
        <v>3103.3199999999997</v>
      </c>
      <c r="J22" s="6">
        <f t="shared" si="5"/>
        <v>3811.6399999999994</v>
      </c>
      <c r="K22" s="6">
        <f t="shared" si="5"/>
        <v>7298.25</v>
      </c>
      <c r="L22" s="6">
        <f t="shared" si="5"/>
        <v>0</v>
      </c>
      <c r="M22" s="6">
        <f t="shared" si="5"/>
        <v>0</v>
      </c>
      <c r="N22" s="6">
        <f t="shared" si="5"/>
        <v>0</v>
      </c>
      <c r="O22" s="6">
        <f t="shared" si="5"/>
        <v>0</v>
      </c>
      <c r="P22" s="6">
        <f t="shared" si="5"/>
        <v>0</v>
      </c>
      <c r="Q22" s="6">
        <f t="shared" si="5"/>
        <v>0</v>
      </c>
      <c r="R22" s="6">
        <f t="shared" si="5"/>
        <v>0</v>
      </c>
      <c r="S22" s="6">
        <f t="shared" si="5"/>
        <v>0</v>
      </c>
      <c r="T22" s="6">
        <f t="shared" si="5"/>
        <v>0</v>
      </c>
      <c r="U22" s="6">
        <f t="shared" si="5"/>
        <v>0</v>
      </c>
      <c r="V22" s="6">
        <f t="shared" si="5"/>
        <v>0</v>
      </c>
      <c r="W22" s="6">
        <f t="shared" si="4"/>
        <v>17872.079999999998</v>
      </c>
    </row>
    <row r="23" spans="1:23" x14ac:dyDescent="0.2">
      <c r="A23" s="3" t="s">
        <v>39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>
        <f t="shared" si="4"/>
        <v>0</v>
      </c>
    </row>
    <row r="24" spans="1:23" x14ac:dyDescent="0.2">
      <c r="A24" s="3" t="s">
        <v>40</v>
      </c>
      <c r="B24" s="4"/>
      <c r="C24" s="4"/>
      <c r="D24" s="4"/>
      <c r="E24" s="4"/>
      <c r="F24" s="4"/>
      <c r="G24" s="5">
        <f>5417.34</f>
        <v>5417.34</v>
      </c>
      <c r="H24" s="5">
        <f>5469.85</f>
        <v>5469.85</v>
      </c>
      <c r="I24" s="5">
        <f>5644.57</f>
        <v>5644.57</v>
      </c>
      <c r="J24" s="5">
        <f>5716</f>
        <v>5716</v>
      </c>
      <c r="K24" s="5">
        <f>165</f>
        <v>165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>
        <f t="shared" si="4"/>
        <v>22412.760000000002</v>
      </c>
    </row>
    <row r="25" spans="1:23" x14ac:dyDescent="0.2">
      <c r="A25" s="3" t="s">
        <v>41</v>
      </c>
      <c r="B25" s="6">
        <f t="shared" ref="B25:V25" si="6">(B23)+(B24)</f>
        <v>0</v>
      </c>
      <c r="C25" s="6">
        <f t="shared" si="6"/>
        <v>0</v>
      </c>
      <c r="D25" s="6">
        <f t="shared" si="6"/>
        <v>0</v>
      </c>
      <c r="E25" s="6">
        <f t="shared" si="6"/>
        <v>0</v>
      </c>
      <c r="F25" s="6">
        <f t="shared" si="6"/>
        <v>0</v>
      </c>
      <c r="G25" s="6">
        <f t="shared" si="6"/>
        <v>5417.34</v>
      </c>
      <c r="H25" s="6">
        <f t="shared" si="6"/>
        <v>5469.85</v>
      </c>
      <c r="I25" s="6">
        <f t="shared" si="6"/>
        <v>5644.57</v>
      </c>
      <c r="J25" s="6">
        <f t="shared" si="6"/>
        <v>5716</v>
      </c>
      <c r="K25" s="6">
        <f t="shared" si="6"/>
        <v>165</v>
      </c>
      <c r="L25" s="6">
        <f t="shared" si="6"/>
        <v>0</v>
      </c>
      <c r="M25" s="6">
        <f t="shared" si="6"/>
        <v>0</v>
      </c>
      <c r="N25" s="6">
        <f t="shared" si="6"/>
        <v>0</v>
      </c>
      <c r="O25" s="6">
        <f t="shared" si="6"/>
        <v>0</v>
      </c>
      <c r="P25" s="6">
        <f t="shared" si="6"/>
        <v>0</v>
      </c>
      <c r="Q25" s="6">
        <f t="shared" si="6"/>
        <v>0</v>
      </c>
      <c r="R25" s="6">
        <f t="shared" si="6"/>
        <v>0</v>
      </c>
      <c r="S25" s="6">
        <f t="shared" si="6"/>
        <v>0</v>
      </c>
      <c r="T25" s="6">
        <f t="shared" si="6"/>
        <v>0</v>
      </c>
      <c r="U25" s="6">
        <f t="shared" si="6"/>
        <v>0</v>
      </c>
      <c r="V25" s="6">
        <f t="shared" si="6"/>
        <v>0</v>
      </c>
      <c r="W25" s="6">
        <f t="shared" si="4"/>
        <v>22412.760000000002</v>
      </c>
    </row>
    <row r="26" spans="1:23" x14ac:dyDescent="0.2">
      <c r="A26" s="3" t="s">
        <v>42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>
        <f t="shared" si="4"/>
        <v>0</v>
      </c>
    </row>
    <row r="27" spans="1:23" x14ac:dyDescent="0.2">
      <c r="A27" s="3" t="s">
        <v>43</v>
      </c>
      <c r="B27" s="4"/>
      <c r="C27" s="4"/>
      <c r="D27" s="4"/>
      <c r="E27" s="4"/>
      <c r="F27" s="4"/>
      <c r="G27" s="4"/>
      <c r="H27" s="5">
        <f>465.8</f>
        <v>465.8</v>
      </c>
      <c r="I27" s="5">
        <f>772.41</f>
        <v>772.41</v>
      </c>
      <c r="J27" s="5">
        <f>1017.05</f>
        <v>1017.05</v>
      </c>
      <c r="K27" s="5">
        <f>5.35</f>
        <v>5.35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>
        <f t="shared" si="4"/>
        <v>2260.61</v>
      </c>
    </row>
    <row r="28" spans="1:23" x14ac:dyDescent="0.2">
      <c r="A28" s="3" t="s">
        <v>44</v>
      </c>
      <c r="B28" s="4"/>
      <c r="C28" s="4"/>
      <c r="D28" s="4"/>
      <c r="E28" s="4"/>
      <c r="F28" s="5">
        <f>42.25</f>
        <v>42.25</v>
      </c>
      <c r="G28" s="5">
        <f>258.24</f>
        <v>258.24</v>
      </c>
      <c r="H28" s="5">
        <f>253.14</f>
        <v>253.14</v>
      </c>
      <c r="I28" s="5">
        <f>259.39</f>
        <v>259.39</v>
      </c>
      <c r="J28" s="5">
        <f>257.58</f>
        <v>257.58</v>
      </c>
      <c r="K28" s="5">
        <f>257.58</f>
        <v>257.58</v>
      </c>
      <c r="L28" s="5">
        <f t="shared" ref="L28:Q28" si="7">42.25</f>
        <v>42.25</v>
      </c>
      <c r="M28" s="5">
        <f t="shared" si="7"/>
        <v>42.25</v>
      </c>
      <c r="N28" s="5">
        <f t="shared" si="7"/>
        <v>42.25</v>
      </c>
      <c r="O28" s="5">
        <f t="shared" si="7"/>
        <v>42.25</v>
      </c>
      <c r="P28" s="5">
        <f t="shared" si="7"/>
        <v>42.25</v>
      </c>
      <c r="Q28" s="5">
        <f t="shared" si="7"/>
        <v>42.25</v>
      </c>
      <c r="R28" s="4"/>
      <c r="S28" s="4"/>
      <c r="T28" s="4"/>
      <c r="U28" s="4"/>
      <c r="V28" s="4"/>
      <c r="W28" s="5">
        <f t="shared" si="4"/>
        <v>1581.6799999999998</v>
      </c>
    </row>
    <row r="29" spans="1:23" x14ac:dyDescent="0.2">
      <c r="A29" s="3" t="s">
        <v>45</v>
      </c>
      <c r="B29" s="4"/>
      <c r="C29" s="4"/>
      <c r="D29" s="4"/>
      <c r="E29" s="4"/>
      <c r="F29" s="5">
        <f>524.13</f>
        <v>524.13</v>
      </c>
      <c r="G29" s="5">
        <f>750</f>
        <v>750</v>
      </c>
      <c r="H29" s="5">
        <f>750</f>
        <v>750</v>
      </c>
      <c r="I29" s="5">
        <f>750</f>
        <v>750</v>
      </c>
      <c r="J29" s="5">
        <f>750</f>
        <v>750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>
        <f t="shared" si="4"/>
        <v>3524.13</v>
      </c>
    </row>
    <row r="30" spans="1:23" x14ac:dyDescent="0.2">
      <c r="A30" s="3" t="s">
        <v>46</v>
      </c>
      <c r="B30" s="4"/>
      <c r="C30" s="4"/>
      <c r="D30" s="4"/>
      <c r="E30" s="4"/>
      <c r="F30" s="4"/>
      <c r="G30" s="5">
        <f>35</f>
        <v>35</v>
      </c>
      <c r="H30" s="4"/>
      <c r="I30" s="5">
        <f>3000</f>
        <v>3000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>
        <f t="shared" si="4"/>
        <v>3035</v>
      </c>
    </row>
    <row r="31" spans="1:23" x14ac:dyDescent="0.2">
      <c r="A31" s="3" t="s">
        <v>47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>
        <f t="shared" si="4"/>
        <v>0</v>
      </c>
    </row>
    <row r="32" spans="1:23" x14ac:dyDescent="0.2">
      <c r="A32" s="3" t="s">
        <v>48</v>
      </c>
      <c r="B32" s="4"/>
      <c r="C32" s="4"/>
      <c r="D32" s="4"/>
      <c r="E32" s="4"/>
      <c r="F32" s="4"/>
      <c r="G32" s="5">
        <f>108.15</f>
        <v>108.15</v>
      </c>
      <c r="H32" s="5">
        <f>55.59</f>
        <v>55.59</v>
      </c>
      <c r="I32" s="5">
        <f>113.92</f>
        <v>113.92</v>
      </c>
      <c r="J32" s="5">
        <f>153.14</f>
        <v>153.13999999999999</v>
      </c>
      <c r="K32" s="5">
        <f>187.77</f>
        <v>187.77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>
        <f t="shared" si="4"/>
        <v>618.57000000000005</v>
      </c>
    </row>
    <row r="33" spans="1:23" x14ac:dyDescent="0.2">
      <c r="A33" s="3" t="s">
        <v>49</v>
      </c>
      <c r="B33" s="6">
        <f t="shared" ref="B33:V33" si="8">(B31)+(B32)</f>
        <v>0</v>
      </c>
      <c r="C33" s="6">
        <f t="shared" si="8"/>
        <v>0</v>
      </c>
      <c r="D33" s="6">
        <f t="shared" si="8"/>
        <v>0</v>
      </c>
      <c r="E33" s="6">
        <f t="shared" si="8"/>
        <v>0</v>
      </c>
      <c r="F33" s="6">
        <f t="shared" si="8"/>
        <v>0</v>
      </c>
      <c r="G33" s="6">
        <f t="shared" si="8"/>
        <v>108.15</v>
      </c>
      <c r="H33" s="6">
        <f t="shared" si="8"/>
        <v>55.59</v>
      </c>
      <c r="I33" s="6">
        <f t="shared" si="8"/>
        <v>113.92</v>
      </c>
      <c r="J33" s="6">
        <f t="shared" si="8"/>
        <v>153.13999999999999</v>
      </c>
      <c r="K33" s="6">
        <f t="shared" si="8"/>
        <v>187.77</v>
      </c>
      <c r="L33" s="6">
        <f t="shared" si="8"/>
        <v>0</v>
      </c>
      <c r="M33" s="6">
        <f t="shared" si="8"/>
        <v>0</v>
      </c>
      <c r="N33" s="6">
        <f t="shared" si="8"/>
        <v>0</v>
      </c>
      <c r="O33" s="6">
        <f t="shared" si="8"/>
        <v>0</v>
      </c>
      <c r="P33" s="6">
        <f t="shared" si="8"/>
        <v>0</v>
      </c>
      <c r="Q33" s="6">
        <f t="shared" si="8"/>
        <v>0</v>
      </c>
      <c r="R33" s="6">
        <f t="shared" si="8"/>
        <v>0</v>
      </c>
      <c r="S33" s="6">
        <f t="shared" si="8"/>
        <v>0</v>
      </c>
      <c r="T33" s="6">
        <f t="shared" si="8"/>
        <v>0</v>
      </c>
      <c r="U33" s="6">
        <f t="shared" si="8"/>
        <v>0</v>
      </c>
      <c r="V33" s="6">
        <f t="shared" si="8"/>
        <v>0</v>
      </c>
      <c r="W33" s="6">
        <f t="shared" si="4"/>
        <v>618.57000000000005</v>
      </c>
    </row>
    <row r="34" spans="1:23" x14ac:dyDescent="0.2">
      <c r="A34" s="3" t="s">
        <v>50</v>
      </c>
      <c r="B34" s="4"/>
      <c r="C34" s="4"/>
      <c r="D34" s="4"/>
      <c r="E34" s="4"/>
      <c r="F34" s="4"/>
      <c r="G34" s="4"/>
      <c r="H34" s="5">
        <f>647.59</f>
        <v>647.59</v>
      </c>
      <c r="I34" s="5">
        <f>174.99</f>
        <v>174.99</v>
      </c>
      <c r="J34" s="5">
        <f>66.3</f>
        <v>66.3</v>
      </c>
      <c r="K34" s="5">
        <f>155.59</f>
        <v>155.59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>
        <f t="shared" si="4"/>
        <v>1044.47</v>
      </c>
    </row>
    <row r="35" spans="1:23" x14ac:dyDescent="0.2">
      <c r="A35" s="3" t="s">
        <v>51</v>
      </c>
      <c r="B35" s="4"/>
      <c r="C35" s="4"/>
      <c r="D35" s="4"/>
      <c r="E35" s="4"/>
      <c r="F35" s="4"/>
      <c r="G35" s="5">
        <f>4844.44</f>
        <v>4844.4399999999996</v>
      </c>
      <c r="H35" s="4"/>
      <c r="I35" s="4"/>
      <c r="J35" s="5">
        <f>79</f>
        <v>79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>
        <f t="shared" si="4"/>
        <v>4923.4399999999996</v>
      </c>
    </row>
    <row r="36" spans="1:23" x14ac:dyDescent="0.2">
      <c r="A36" s="3" t="s">
        <v>52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>
        <f t="shared" si="4"/>
        <v>0</v>
      </c>
    </row>
    <row r="37" spans="1:23" x14ac:dyDescent="0.2">
      <c r="A37" s="3" t="s">
        <v>53</v>
      </c>
      <c r="B37" s="4"/>
      <c r="C37" s="4"/>
      <c r="D37" s="4"/>
      <c r="E37" s="4"/>
      <c r="F37" s="4"/>
      <c r="G37" s="4"/>
      <c r="H37" s="5">
        <f>45.5</f>
        <v>45.5</v>
      </c>
      <c r="I37" s="5">
        <f>3995.5</f>
        <v>3995.5</v>
      </c>
      <c r="J37" s="5">
        <f>45.5</f>
        <v>45.5</v>
      </c>
      <c r="K37" s="5">
        <f>45.5</f>
        <v>45.5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>
        <f t="shared" si="4"/>
        <v>4132</v>
      </c>
    </row>
    <row r="38" spans="1:23" x14ac:dyDescent="0.2">
      <c r="A38" s="3" t="s">
        <v>54</v>
      </c>
      <c r="B38" s="4"/>
      <c r="C38" s="4"/>
      <c r="D38" s="4"/>
      <c r="E38" s="4"/>
      <c r="F38" s="4"/>
      <c r="G38" s="5">
        <f>3052.02</f>
        <v>3052.02</v>
      </c>
      <c r="H38" s="5">
        <f>1178.55</f>
        <v>1178.55</v>
      </c>
      <c r="I38" s="5">
        <f>2168.1</f>
        <v>2168.1</v>
      </c>
      <c r="J38" s="5">
        <f>942.4</f>
        <v>942.4</v>
      </c>
      <c r="K38" s="5">
        <f>2168.1</f>
        <v>2168.1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>
        <f t="shared" si="4"/>
        <v>9509.17</v>
      </c>
    </row>
    <row r="39" spans="1:23" x14ac:dyDescent="0.2">
      <c r="A39" s="3" t="s">
        <v>55</v>
      </c>
      <c r="B39" s="6">
        <f t="shared" ref="B39:V39" si="9">((B36)+(B37))+(B38)</f>
        <v>0</v>
      </c>
      <c r="C39" s="6">
        <f t="shared" si="9"/>
        <v>0</v>
      </c>
      <c r="D39" s="6">
        <f t="shared" si="9"/>
        <v>0</v>
      </c>
      <c r="E39" s="6">
        <f t="shared" si="9"/>
        <v>0</v>
      </c>
      <c r="F39" s="6">
        <f t="shared" si="9"/>
        <v>0</v>
      </c>
      <c r="G39" s="6">
        <f t="shared" si="9"/>
        <v>3052.02</v>
      </c>
      <c r="H39" s="6">
        <f t="shared" si="9"/>
        <v>1224.05</v>
      </c>
      <c r="I39" s="6">
        <f t="shared" si="9"/>
        <v>6163.6</v>
      </c>
      <c r="J39" s="6">
        <f t="shared" si="9"/>
        <v>987.9</v>
      </c>
      <c r="K39" s="6">
        <f t="shared" si="9"/>
        <v>2213.6</v>
      </c>
      <c r="L39" s="6">
        <f t="shared" si="9"/>
        <v>0</v>
      </c>
      <c r="M39" s="6">
        <f t="shared" si="9"/>
        <v>0</v>
      </c>
      <c r="N39" s="6">
        <f t="shared" si="9"/>
        <v>0</v>
      </c>
      <c r="O39" s="6">
        <f t="shared" si="9"/>
        <v>0</v>
      </c>
      <c r="P39" s="6">
        <f t="shared" si="9"/>
        <v>0</v>
      </c>
      <c r="Q39" s="6">
        <f t="shared" si="9"/>
        <v>0</v>
      </c>
      <c r="R39" s="6">
        <f t="shared" si="9"/>
        <v>0</v>
      </c>
      <c r="S39" s="6">
        <f t="shared" si="9"/>
        <v>0</v>
      </c>
      <c r="T39" s="6">
        <f t="shared" si="9"/>
        <v>0</v>
      </c>
      <c r="U39" s="6">
        <f t="shared" si="9"/>
        <v>0</v>
      </c>
      <c r="V39" s="6">
        <f t="shared" si="9"/>
        <v>0</v>
      </c>
      <c r="W39" s="6">
        <f t="shared" si="4"/>
        <v>13641.17</v>
      </c>
    </row>
    <row r="40" spans="1:23" x14ac:dyDescent="0.2">
      <c r="A40" s="3" t="s">
        <v>56</v>
      </c>
      <c r="B40" s="4"/>
      <c r="C40" s="4"/>
      <c r="D40" s="4"/>
      <c r="E40" s="4"/>
      <c r="F40" s="5">
        <f>5</f>
        <v>5</v>
      </c>
      <c r="G40" s="4"/>
      <c r="H40" s="5">
        <f>5</f>
        <v>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>
        <f t="shared" si="4"/>
        <v>10</v>
      </c>
    </row>
    <row r="41" spans="1:23" x14ac:dyDescent="0.2">
      <c r="A41" s="3" t="s">
        <v>57</v>
      </c>
      <c r="B41" s="4"/>
      <c r="C41" s="4"/>
      <c r="D41" s="4"/>
      <c r="E41" s="4"/>
      <c r="F41" s="5">
        <f>175</f>
        <v>175</v>
      </c>
      <c r="G41" s="5">
        <f>635.26</f>
        <v>635.26</v>
      </c>
      <c r="H41" s="5">
        <f>542.18</f>
        <v>542.17999999999995</v>
      </c>
      <c r="I41" s="5">
        <f>542.18</f>
        <v>542.17999999999995</v>
      </c>
      <c r="J41" s="5">
        <f>530.19</f>
        <v>530.19000000000005</v>
      </c>
      <c r="K41" s="5">
        <f>504.2</f>
        <v>504.2</v>
      </c>
      <c r="L41" s="5">
        <f>425</f>
        <v>425</v>
      </c>
      <c r="M41" s="5">
        <f>425</f>
        <v>425</v>
      </c>
      <c r="N41" s="5">
        <f>425</f>
        <v>425</v>
      </c>
      <c r="O41" s="5">
        <f>425</f>
        <v>425</v>
      </c>
      <c r="P41" s="5">
        <f>425</f>
        <v>425</v>
      </c>
      <c r="Q41" s="5">
        <f>425</f>
        <v>425</v>
      </c>
      <c r="R41" s="5">
        <f>250</f>
        <v>250</v>
      </c>
      <c r="S41" s="4"/>
      <c r="T41" s="4"/>
      <c r="U41" s="4"/>
      <c r="V41" s="4"/>
      <c r="W41" s="5">
        <f t="shared" si="4"/>
        <v>5729.01</v>
      </c>
    </row>
    <row r="42" spans="1:23" x14ac:dyDescent="0.2">
      <c r="A42" s="3" t="s">
        <v>58</v>
      </c>
      <c r="B42" s="4"/>
      <c r="C42" s="4"/>
      <c r="D42" s="4"/>
      <c r="E42" s="4"/>
      <c r="F42" s="5">
        <f>15.2</f>
        <v>15.2</v>
      </c>
      <c r="G42" s="5">
        <f>388.39</f>
        <v>388.39</v>
      </c>
      <c r="H42" s="5">
        <f>383.39</f>
        <v>383.39</v>
      </c>
      <c r="I42" s="5">
        <f>383.39</f>
        <v>383.39</v>
      </c>
      <c r="J42" s="5">
        <f>373.19</f>
        <v>373.19</v>
      </c>
      <c r="K42" s="5">
        <f>449.6</f>
        <v>449.6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>
        <f t="shared" si="4"/>
        <v>1993.1599999999999</v>
      </c>
    </row>
    <row r="43" spans="1:23" x14ac:dyDescent="0.2">
      <c r="A43" s="3" t="s">
        <v>59</v>
      </c>
      <c r="B43" s="4"/>
      <c r="C43" s="4"/>
      <c r="D43" s="4"/>
      <c r="E43" s="4"/>
      <c r="F43" s="4"/>
      <c r="G43" s="5">
        <f>593.95</f>
        <v>593.95000000000005</v>
      </c>
      <c r="H43" s="5">
        <f>1</f>
        <v>1</v>
      </c>
      <c r="I43" s="4"/>
      <c r="J43" s="4"/>
      <c r="K43" s="5">
        <f>169.78</f>
        <v>169.78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>
        <f t="shared" si="4"/>
        <v>764.73</v>
      </c>
    </row>
    <row r="44" spans="1:23" x14ac:dyDescent="0.2">
      <c r="A44" s="3" t="s">
        <v>60</v>
      </c>
      <c r="B44" s="6">
        <f t="shared" ref="B44:V44" si="10">((((((((((((B26)+(B27))+(B28))+(B29))+(B30))+(B33))+(B34))+(B35))+(B39))+(B40))+(B41))+(B42))+(B43)</f>
        <v>0</v>
      </c>
      <c r="C44" s="6">
        <f t="shared" si="10"/>
        <v>0</v>
      </c>
      <c r="D44" s="6">
        <f t="shared" si="10"/>
        <v>0</v>
      </c>
      <c r="E44" s="6">
        <f t="shared" si="10"/>
        <v>0</v>
      </c>
      <c r="F44" s="6">
        <f t="shared" si="10"/>
        <v>761.58</v>
      </c>
      <c r="G44" s="6">
        <f t="shared" si="10"/>
        <v>10665.45</v>
      </c>
      <c r="H44" s="6">
        <f t="shared" si="10"/>
        <v>4327.74</v>
      </c>
      <c r="I44" s="6">
        <f t="shared" si="10"/>
        <v>12159.880000000001</v>
      </c>
      <c r="J44" s="6">
        <f t="shared" si="10"/>
        <v>4214.3500000000004</v>
      </c>
      <c r="K44" s="6">
        <f t="shared" si="10"/>
        <v>3943.47</v>
      </c>
      <c r="L44" s="6">
        <f t="shared" si="10"/>
        <v>467.25</v>
      </c>
      <c r="M44" s="6">
        <f t="shared" si="10"/>
        <v>467.25</v>
      </c>
      <c r="N44" s="6">
        <f t="shared" si="10"/>
        <v>467.25</v>
      </c>
      <c r="O44" s="6">
        <f t="shared" si="10"/>
        <v>467.25</v>
      </c>
      <c r="P44" s="6">
        <f t="shared" si="10"/>
        <v>467.25</v>
      </c>
      <c r="Q44" s="6">
        <f t="shared" si="10"/>
        <v>467.25</v>
      </c>
      <c r="R44" s="6">
        <f t="shared" si="10"/>
        <v>250</v>
      </c>
      <c r="S44" s="6">
        <f t="shared" si="10"/>
        <v>0</v>
      </c>
      <c r="T44" s="6">
        <f t="shared" si="10"/>
        <v>0</v>
      </c>
      <c r="U44" s="6">
        <f t="shared" si="10"/>
        <v>0</v>
      </c>
      <c r="V44" s="6">
        <f t="shared" si="10"/>
        <v>0</v>
      </c>
      <c r="W44" s="6">
        <f t="shared" si="4"/>
        <v>39125.97</v>
      </c>
    </row>
    <row r="45" spans="1:23" x14ac:dyDescent="0.2">
      <c r="A45" s="3" t="s">
        <v>61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>
        <f t="shared" si="4"/>
        <v>0</v>
      </c>
    </row>
    <row r="46" spans="1:23" x14ac:dyDescent="0.2">
      <c r="A46" s="3" t="s">
        <v>62</v>
      </c>
      <c r="B46" s="4"/>
      <c r="C46" s="4"/>
      <c r="D46" s="4"/>
      <c r="E46" s="4"/>
      <c r="F46" s="4"/>
      <c r="G46" s="4"/>
      <c r="H46" s="5">
        <f>361.72</f>
        <v>361.72</v>
      </c>
      <c r="I46" s="4"/>
      <c r="J46" s="4"/>
      <c r="K46" s="5">
        <f>1785.94</f>
        <v>1785.94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>
        <f t="shared" si="4"/>
        <v>2147.66</v>
      </c>
    </row>
    <row r="47" spans="1:23" x14ac:dyDescent="0.2">
      <c r="A47" s="3" t="s">
        <v>63</v>
      </c>
      <c r="B47" s="6">
        <f t="shared" ref="B47:V47" si="11">(B45)+(B46)</f>
        <v>0</v>
      </c>
      <c r="C47" s="6">
        <f t="shared" si="11"/>
        <v>0</v>
      </c>
      <c r="D47" s="6">
        <f t="shared" si="11"/>
        <v>0</v>
      </c>
      <c r="E47" s="6">
        <f t="shared" si="11"/>
        <v>0</v>
      </c>
      <c r="F47" s="6">
        <f t="shared" si="11"/>
        <v>0</v>
      </c>
      <c r="G47" s="6">
        <f t="shared" si="11"/>
        <v>0</v>
      </c>
      <c r="H47" s="6">
        <f t="shared" si="11"/>
        <v>361.72</v>
      </c>
      <c r="I47" s="6">
        <f t="shared" si="11"/>
        <v>0</v>
      </c>
      <c r="J47" s="6">
        <f t="shared" si="11"/>
        <v>0</v>
      </c>
      <c r="K47" s="6">
        <f t="shared" si="11"/>
        <v>1785.94</v>
      </c>
      <c r="L47" s="6">
        <f t="shared" si="11"/>
        <v>0</v>
      </c>
      <c r="M47" s="6">
        <f t="shared" si="11"/>
        <v>0</v>
      </c>
      <c r="N47" s="6">
        <f t="shared" si="11"/>
        <v>0</v>
      </c>
      <c r="O47" s="6">
        <f t="shared" si="11"/>
        <v>0</v>
      </c>
      <c r="P47" s="6">
        <f t="shared" si="11"/>
        <v>0</v>
      </c>
      <c r="Q47" s="6">
        <f t="shared" si="11"/>
        <v>0</v>
      </c>
      <c r="R47" s="6">
        <f t="shared" si="11"/>
        <v>0</v>
      </c>
      <c r="S47" s="6">
        <f t="shared" si="11"/>
        <v>0</v>
      </c>
      <c r="T47" s="6">
        <f t="shared" si="11"/>
        <v>0</v>
      </c>
      <c r="U47" s="6">
        <f t="shared" si="11"/>
        <v>0</v>
      </c>
      <c r="V47" s="6">
        <f t="shared" si="11"/>
        <v>0</v>
      </c>
      <c r="W47" s="6">
        <f t="shared" si="4"/>
        <v>2147.66</v>
      </c>
    </row>
    <row r="48" spans="1:23" x14ac:dyDescent="0.2">
      <c r="A48" s="3" t="s">
        <v>64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>
        <f t="shared" ref="W48:W79" si="12">((((((((((((((((((((B48)+(C48))+(D48))+(E48))+(F48))+(G48))+(H48))+(I48))+(J48))+(K48))+(L48))+(M48))+(N48))+(O48))+(P48))+(Q48))+(R48))+(S48))+(T48))+(U48))+(V48)</f>
        <v>0</v>
      </c>
    </row>
    <row r="49" spans="1:23" x14ac:dyDescent="0.2">
      <c r="A49" s="3" t="s">
        <v>65</v>
      </c>
      <c r="B49" s="4"/>
      <c r="C49" s="4"/>
      <c r="D49" s="4"/>
      <c r="E49" s="4"/>
      <c r="F49" s="4"/>
      <c r="G49" s="5">
        <f>84</f>
        <v>84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>
        <f t="shared" si="12"/>
        <v>84</v>
      </c>
    </row>
    <row r="50" spans="1:23" x14ac:dyDescent="0.2">
      <c r="A50" s="3" t="s">
        <v>66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>
        <f t="shared" si="12"/>
        <v>0</v>
      </c>
    </row>
    <row r="51" spans="1:23" x14ac:dyDescent="0.2">
      <c r="A51" s="3" t="s">
        <v>67</v>
      </c>
      <c r="B51" s="4"/>
      <c r="C51" s="4"/>
      <c r="D51" s="4"/>
      <c r="E51" s="4"/>
      <c r="F51" s="5">
        <f>542.31</f>
        <v>542.30999999999995</v>
      </c>
      <c r="G51" s="5">
        <f>1054.02</f>
        <v>1054.02</v>
      </c>
      <c r="H51" s="5">
        <f>1019.21</f>
        <v>1019.21</v>
      </c>
      <c r="I51" s="5">
        <f>1243.2</f>
        <v>1243.2</v>
      </c>
      <c r="J51" s="5">
        <f>956.21</f>
        <v>956.21</v>
      </c>
      <c r="K51" s="5">
        <f>956.2</f>
        <v>956.2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>
        <f t="shared" si="12"/>
        <v>5771.15</v>
      </c>
    </row>
    <row r="52" spans="1:23" x14ac:dyDescent="0.2">
      <c r="A52" s="3" t="s">
        <v>68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>
        <f t="shared" si="12"/>
        <v>0</v>
      </c>
    </row>
    <row r="53" spans="1:23" x14ac:dyDescent="0.2">
      <c r="A53" s="3" t="s">
        <v>69</v>
      </c>
      <c r="B53" s="4"/>
      <c r="C53" s="4"/>
      <c r="D53" s="4"/>
      <c r="E53" s="4"/>
      <c r="F53" s="5">
        <f>4615.38</f>
        <v>4615.38</v>
      </c>
      <c r="G53" s="5">
        <f>12500</f>
        <v>12500</v>
      </c>
      <c r="H53" s="5">
        <f>12500</f>
        <v>12500</v>
      </c>
      <c r="I53" s="5">
        <f>12500</f>
        <v>12500</v>
      </c>
      <c r="J53" s="5">
        <f>12500</f>
        <v>12500</v>
      </c>
      <c r="K53" s="5">
        <f>12500</f>
        <v>12500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>
        <f t="shared" si="12"/>
        <v>67115.38</v>
      </c>
    </row>
    <row r="54" spans="1:23" x14ac:dyDescent="0.2">
      <c r="A54" s="3" t="s">
        <v>70</v>
      </c>
      <c r="B54" s="6">
        <f t="shared" ref="B54:V54" si="13">(B52)+(B53)</f>
        <v>0</v>
      </c>
      <c r="C54" s="6">
        <f t="shared" si="13"/>
        <v>0</v>
      </c>
      <c r="D54" s="6">
        <f t="shared" si="13"/>
        <v>0</v>
      </c>
      <c r="E54" s="6">
        <f t="shared" si="13"/>
        <v>0</v>
      </c>
      <c r="F54" s="6">
        <f t="shared" si="13"/>
        <v>4615.38</v>
      </c>
      <c r="G54" s="6">
        <f t="shared" si="13"/>
        <v>12500</v>
      </c>
      <c r="H54" s="6">
        <f t="shared" si="13"/>
        <v>12500</v>
      </c>
      <c r="I54" s="6">
        <f t="shared" si="13"/>
        <v>12500</v>
      </c>
      <c r="J54" s="6">
        <f t="shared" si="13"/>
        <v>12500</v>
      </c>
      <c r="K54" s="6">
        <f t="shared" si="13"/>
        <v>12500</v>
      </c>
      <c r="L54" s="6">
        <f t="shared" si="13"/>
        <v>0</v>
      </c>
      <c r="M54" s="6">
        <f t="shared" si="13"/>
        <v>0</v>
      </c>
      <c r="N54" s="6">
        <f t="shared" si="13"/>
        <v>0</v>
      </c>
      <c r="O54" s="6">
        <f t="shared" si="13"/>
        <v>0</v>
      </c>
      <c r="P54" s="6">
        <f t="shared" si="13"/>
        <v>0</v>
      </c>
      <c r="Q54" s="6">
        <f t="shared" si="13"/>
        <v>0</v>
      </c>
      <c r="R54" s="6">
        <f t="shared" si="13"/>
        <v>0</v>
      </c>
      <c r="S54" s="6">
        <f t="shared" si="13"/>
        <v>0</v>
      </c>
      <c r="T54" s="6">
        <f t="shared" si="13"/>
        <v>0</v>
      </c>
      <c r="U54" s="6">
        <f t="shared" si="13"/>
        <v>0</v>
      </c>
      <c r="V54" s="6">
        <f t="shared" si="13"/>
        <v>0</v>
      </c>
      <c r="W54" s="6">
        <f t="shared" si="12"/>
        <v>67115.38</v>
      </c>
    </row>
    <row r="55" spans="1:23" x14ac:dyDescent="0.2">
      <c r="A55" s="3" t="s">
        <v>71</v>
      </c>
      <c r="B55" s="6">
        <f t="shared" ref="B55:V55" si="14">((B50)+(B51))+(B54)</f>
        <v>0</v>
      </c>
      <c r="C55" s="6">
        <f t="shared" si="14"/>
        <v>0</v>
      </c>
      <c r="D55" s="6">
        <f t="shared" si="14"/>
        <v>0</v>
      </c>
      <c r="E55" s="6">
        <f t="shared" si="14"/>
        <v>0</v>
      </c>
      <c r="F55" s="6">
        <f t="shared" si="14"/>
        <v>5157.6900000000005</v>
      </c>
      <c r="G55" s="6">
        <f t="shared" si="14"/>
        <v>13554.02</v>
      </c>
      <c r="H55" s="6">
        <f t="shared" si="14"/>
        <v>13519.21</v>
      </c>
      <c r="I55" s="6">
        <f t="shared" si="14"/>
        <v>13743.2</v>
      </c>
      <c r="J55" s="6">
        <f t="shared" si="14"/>
        <v>13456.21</v>
      </c>
      <c r="K55" s="6">
        <f t="shared" si="14"/>
        <v>13456.2</v>
      </c>
      <c r="L55" s="6">
        <f t="shared" si="14"/>
        <v>0</v>
      </c>
      <c r="M55" s="6">
        <f t="shared" si="14"/>
        <v>0</v>
      </c>
      <c r="N55" s="6">
        <f t="shared" si="14"/>
        <v>0</v>
      </c>
      <c r="O55" s="6">
        <f t="shared" si="14"/>
        <v>0</v>
      </c>
      <c r="P55" s="6">
        <f t="shared" si="14"/>
        <v>0</v>
      </c>
      <c r="Q55" s="6">
        <f t="shared" si="14"/>
        <v>0</v>
      </c>
      <c r="R55" s="6">
        <f t="shared" si="14"/>
        <v>0</v>
      </c>
      <c r="S55" s="6">
        <f t="shared" si="14"/>
        <v>0</v>
      </c>
      <c r="T55" s="6">
        <f t="shared" si="14"/>
        <v>0</v>
      </c>
      <c r="U55" s="6">
        <f t="shared" si="14"/>
        <v>0</v>
      </c>
      <c r="V55" s="6">
        <f t="shared" si="14"/>
        <v>0</v>
      </c>
      <c r="W55" s="6">
        <f t="shared" si="12"/>
        <v>72886.53</v>
      </c>
    </row>
    <row r="56" spans="1:23" x14ac:dyDescent="0.2">
      <c r="A56" s="3" t="s">
        <v>72</v>
      </c>
      <c r="B56" s="4"/>
      <c r="C56" s="4"/>
      <c r="D56" s="4"/>
      <c r="E56" s="4"/>
      <c r="F56" s="4"/>
      <c r="G56" s="4"/>
      <c r="H56" s="4"/>
      <c r="I56" s="4"/>
      <c r="J56" s="5">
        <f>99.95</f>
        <v>99.95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>
        <f t="shared" si="12"/>
        <v>99.95</v>
      </c>
    </row>
    <row r="57" spans="1:23" x14ac:dyDescent="0.2">
      <c r="A57" s="3" t="s">
        <v>73</v>
      </c>
      <c r="B57" s="4"/>
      <c r="C57" s="4"/>
      <c r="D57" s="4"/>
      <c r="E57" s="4"/>
      <c r="F57" s="5">
        <f>0</f>
        <v>0</v>
      </c>
      <c r="G57" s="5">
        <f>0</f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>
        <f t="shared" si="12"/>
        <v>0</v>
      </c>
    </row>
    <row r="58" spans="1:23" x14ac:dyDescent="0.2">
      <c r="A58" s="3" t="s">
        <v>74</v>
      </c>
      <c r="B58" s="6">
        <f t="shared" ref="B58:V58" si="15">((((B48)+(B49))+(B55))+(B56))+(B57)</f>
        <v>0</v>
      </c>
      <c r="C58" s="6">
        <f t="shared" si="15"/>
        <v>0</v>
      </c>
      <c r="D58" s="6">
        <f t="shared" si="15"/>
        <v>0</v>
      </c>
      <c r="E58" s="6">
        <f t="shared" si="15"/>
        <v>0</v>
      </c>
      <c r="F58" s="6">
        <f t="shared" si="15"/>
        <v>5157.6900000000005</v>
      </c>
      <c r="G58" s="6">
        <f t="shared" si="15"/>
        <v>13638.02</v>
      </c>
      <c r="H58" s="6">
        <f t="shared" si="15"/>
        <v>13519.21</v>
      </c>
      <c r="I58" s="6">
        <f t="shared" si="15"/>
        <v>13743.2</v>
      </c>
      <c r="J58" s="6">
        <f t="shared" si="15"/>
        <v>13556.16</v>
      </c>
      <c r="K58" s="6">
        <f t="shared" si="15"/>
        <v>13456.2</v>
      </c>
      <c r="L58" s="6">
        <f t="shared" si="15"/>
        <v>0</v>
      </c>
      <c r="M58" s="6">
        <f t="shared" si="15"/>
        <v>0</v>
      </c>
      <c r="N58" s="6">
        <f t="shared" si="15"/>
        <v>0</v>
      </c>
      <c r="O58" s="6">
        <f t="shared" si="15"/>
        <v>0</v>
      </c>
      <c r="P58" s="6">
        <f t="shared" si="15"/>
        <v>0</v>
      </c>
      <c r="Q58" s="6">
        <f t="shared" si="15"/>
        <v>0</v>
      </c>
      <c r="R58" s="6">
        <f t="shared" si="15"/>
        <v>0</v>
      </c>
      <c r="S58" s="6">
        <f t="shared" si="15"/>
        <v>0</v>
      </c>
      <c r="T58" s="6">
        <f t="shared" si="15"/>
        <v>0</v>
      </c>
      <c r="U58" s="6">
        <f t="shared" si="15"/>
        <v>0</v>
      </c>
      <c r="V58" s="6">
        <f t="shared" si="15"/>
        <v>0</v>
      </c>
      <c r="W58" s="6">
        <f t="shared" si="12"/>
        <v>73070.48</v>
      </c>
    </row>
    <row r="59" spans="1:23" x14ac:dyDescent="0.2">
      <c r="A59" s="3" t="s">
        <v>75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>
        <f t="shared" si="12"/>
        <v>0</v>
      </c>
    </row>
    <row r="60" spans="1:23" x14ac:dyDescent="0.2">
      <c r="A60" s="3" t="s">
        <v>76</v>
      </c>
      <c r="B60" s="4"/>
      <c r="C60" s="4"/>
      <c r="D60" s="4"/>
      <c r="E60" s="4"/>
      <c r="F60" s="5">
        <f>8400</f>
        <v>8400</v>
      </c>
      <c r="G60" s="5">
        <f>11219.04</f>
        <v>11219.04</v>
      </c>
      <c r="H60" s="5">
        <f>12000</f>
        <v>12000</v>
      </c>
      <c r="I60" s="5">
        <f>12000</f>
        <v>12000</v>
      </c>
      <c r="J60" s="5">
        <f>12000</f>
        <v>12000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>
        <f t="shared" si="12"/>
        <v>55619.040000000001</v>
      </c>
    </row>
    <row r="61" spans="1:23" x14ac:dyDescent="0.2">
      <c r="A61" s="3" t="s">
        <v>77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>
        <f t="shared" si="12"/>
        <v>0</v>
      </c>
    </row>
    <row r="62" spans="1:23" x14ac:dyDescent="0.2">
      <c r="A62" s="3" t="s">
        <v>78</v>
      </c>
      <c r="B62" s="4"/>
      <c r="C62" s="4"/>
      <c r="D62" s="4"/>
      <c r="E62" s="4"/>
      <c r="F62" s="5">
        <f>542.31</f>
        <v>542.30999999999995</v>
      </c>
      <c r="G62" s="5">
        <f>1624.33</f>
        <v>1624.33</v>
      </c>
      <c r="H62" s="5">
        <f>1491.91</f>
        <v>1491.91</v>
      </c>
      <c r="I62" s="5">
        <f>1835.17</f>
        <v>1835.17</v>
      </c>
      <c r="J62" s="5">
        <f>1422.37</f>
        <v>1422.37</v>
      </c>
      <c r="K62" s="5">
        <f>1147.05</f>
        <v>1147.05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>
        <f t="shared" si="12"/>
        <v>8063.14</v>
      </c>
    </row>
    <row r="63" spans="1:23" x14ac:dyDescent="0.2">
      <c r="A63" s="3" t="s">
        <v>79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5">
        <f t="shared" si="12"/>
        <v>0</v>
      </c>
    </row>
    <row r="64" spans="1:23" x14ac:dyDescent="0.2">
      <c r="A64" s="3" t="s">
        <v>80</v>
      </c>
      <c r="B64" s="4"/>
      <c r="C64" s="4"/>
      <c r="D64" s="4"/>
      <c r="E64" s="4"/>
      <c r="F64" s="5">
        <f>4615.38</f>
        <v>4615.38</v>
      </c>
      <c r="G64" s="5">
        <f>17708.33</f>
        <v>17708.330000000002</v>
      </c>
      <c r="H64" s="5">
        <f>17916.66</f>
        <v>17916.66</v>
      </c>
      <c r="I64" s="5">
        <f>17916.66</f>
        <v>17916.66</v>
      </c>
      <c r="J64" s="5">
        <f>17916.66</f>
        <v>17916.66</v>
      </c>
      <c r="K64" s="5">
        <f>15000</f>
        <v>15000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>
        <f t="shared" si="12"/>
        <v>91073.69</v>
      </c>
    </row>
    <row r="65" spans="1:23" x14ac:dyDescent="0.2">
      <c r="A65" s="3" t="s">
        <v>81</v>
      </c>
      <c r="B65" s="6">
        <f t="shared" ref="B65:V65" si="16">(B63)+(B64)</f>
        <v>0</v>
      </c>
      <c r="C65" s="6">
        <f t="shared" si="16"/>
        <v>0</v>
      </c>
      <c r="D65" s="6">
        <f t="shared" si="16"/>
        <v>0</v>
      </c>
      <c r="E65" s="6">
        <f t="shared" si="16"/>
        <v>0</v>
      </c>
      <c r="F65" s="6">
        <f t="shared" si="16"/>
        <v>4615.38</v>
      </c>
      <c r="G65" s="6">
        <f t="shared" si="16"/>
        <v>17708.330000000002</v>
      </c>
      <c r="H65" s="6">
        <f t="shared" si="16"/>
        <v>17916.66</v>
      </c>
      <c r="I65" s="6">
        <f t="shared" si="16"/>
        <v>17916.66</v>
      </c>
      <c r="J65" s="6">
        <f t="shared" si="16"/>
        <v>17916.66</v>
      </c>
      <c r="K65" s="6">
        <f t="shared" si="16"/>
        <v>15000</v>
      </c>
      <c r="L65" s="6">
        <f t="shared" si="16"/>
        <v>0</v>
      </c>
      <c r="M65" s="6">
        <f t="shared" si="16"/>
        <v>0</v>
      </c>
      <c r="N65" s="6">
        <f t="shared" si="16"/>
        <v>0</v>
      </c>
      <c r="O65" s="6">
        <f t="shared" si="16"/>
        <v>0</v>
      </c>
      <c r="P65" s="6">
        <f t="shared" si="16"/>
        <v>0</v>
      </c>
      <c r="Q65" s="6">
        <f t="shared" si="16"/>
        <v>0</v>
      </c>
      <c r="R65" s="6">
        <f t="shared" si="16"/>
        <v>0</v>
      </c>
      <c r="S65" s="6">
        <f t="shared" si="16"/>
        <v>0</v>
      </c>
      <c r="T65" s="6">
        <f t="shared" si="16"/>
        <v>0</v>
      </c>
      <c r="U65" s="6">
        <f t="shared" si="16"/>
        <v>0</v>
      </c>
      <c r="V65" s="6">
        <f t="shared" si="16"/>
        <v>0</v>
      </c>
      <c r="W65" s="6">
        <f t="shared" si="12"/>
        <v>91073.69</v>
      </c>
    </row>
    <row r="66" spans="1:23" x14ac:dyDescent="0.2">
      <c r="A66" s="3" t="s">
        <v>82</v>
      </c>
      <c r="B66" s="6">
        <f t="shared" ref="B66:V66" si="17">((B61)+(B62))+(B65)</f>
        <v>0</v>
      </c>
      <c r="C66" s="6">
        <f t="shared" si="17"/>
        <v>0</v>
      </c>
      <c r="D66" s="6">
        <f t="shared" si="17"/>
        <v>0</v>
      </c>
      <c r="E66" s="6">
        <f t="shared" si="17"/>
        <v>0</v>
      </c>
      <c r="F66" s="6">
        <f t="shared" si="17"/>
        <v>5157.6900000000005</v>
      </c>
      <c r="G66" s="6">
        <f t="shared" si="17"/>
        <v>19332.660000000003</v>
      </c>
      <c r="H66" s="6">
        <f t="shared" si="17"/>
        <v>19408.57</v>
      </c>
      <c r="I66" s="6">
        <f t="shared" si="17"/>
        <v>19751.830000000002</v>
      </c>
      <c r="J66" s="6">
        <f t="shared" si="17"/>
        <v>19339.03</v>
      </c>
      <c r="K66" s="6">
        <f t="shared" si="17"/>
        <v>16147.05</v>
      </c>
      <c r="L66" s="6">
        <f t="shared" si="17"/>
        <v>0</v>
      </c>
      <c r="M66" s="6">
        <f t="shared" si="17"/>
        <v>0</v>
      </c>
      <c r="N66" s="6">
        <f t="shared" si="17"/>
        <v>0</v>
      </c>
      <c r="O66" s="6">
        <f t="shared" si="17"/>
        <v>0</v>
      </c>
      <c r="P66" s="6">
        <f t="shared" si="17"/>
        <v>0</v>
      </c>
      <c r="Q66" s="6">
        <f t="shared" si="17"/>
        <v>0</v>
      </c>
      <c r="R66" s="6">
        <f t="shared" si="17"/>
        <v>0</v>
      </c>
      <c r="S66" s="6">
        <f t="shared" si="17"/>
        <v>0</v>
      </c>
      <c r="T66" s="6">
        <f t="shared" si="17"/>
        <v>0</v>
      </c>
      <c r="U66" s="6">
        <f t="shared" si="17"/>
        <v>0</v>
      </c>
      <c r="V66" s="6">
        <f t="shared" si="17"/>
        <v>0</v>
      </c>
      <c r="W66" s="6">
        <f t="shared" si="12"/>
        <v>99136.83</v>
      </c>
    </row>
    <row r="67" spans="1:23" x14ac:dyDescent="0.2">
      <c r="A67" s="3" t="s">
        <v>83</v>
      </c>
      <c r="B67" s="4"/>
      <c r="C67" s="4"/>
      <c r="D67" s="4"/>
      <c r="E67" s="4"/>
      <c r="F67" s="5">
        <f>61.7</f>
        <v>61.7</v>
      </c>
      <c r="G67" s="5">
        <f>217.63</f>
        <v>217.63</v>
      </c>
      <c r="H67" s="5">
        <f>161.5</f>
        <v>161.5</v>
      </c>
      <c r="I67" s="5">
        <f>361.5</f>
        <v>361.5</v>
      </c>
      <c r="J67" s="5">
        <f>1012.09</f>
        <v>1012.09</v>
      </c>
      <c r="K67" s="5">
        <f>1114.1</f>
        <v>1114.0999999999999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>
        <f t="shared" si="12"/>
        <v>2928.52</v>
      </c>
    </row>
    <row r="68" spans="1:23" x14ac:dyDescent="0.2">
      <c r="A68" s="3" t="s">
        <v>84</v>
      </c>
      <c r="B68" s="6">
        <f t="shared" ref="B68:V68" si="18">(((B59)+(B60))+(B66))+(B67)</f>
        <v>0</v>
      </c>
      <c r="C68" s="6">
        <f t="shared" si="18"/>
        <v>0</v>
      </c>
      <c r="D68" s="6">
        <f t="shared" si="18"/>
        <v>0</v>
      </c>
      <c r="E68" s="6">
        <f t="shared" si="18"/>
        <v>0</v>
      </c>
      <c r="F68" s="6">
        <f t="shared" si="18"/>
        <v>13619.390000000001</v>
      </c>
      <c r="G68" s="6">
        <f t="shared" si="18"/>
        <v>30769.330000000005</v>
      </c>
      <c r="H68" s="6">
        <f t="shared" si="18"/>
        <v>31570.07</v>
      </c>
      <c r="I68" s="6">
        <f t="shared" si="18"/>
        <v>32113.33</v>
      </c>
      <c r="J68" s="6">
        <f t="shared" si="18"/>
        <v>32351.119999999999</v>
      </c>
      <c r="K68" s="6">
        <f t="shared" si="18"/>
        <v>17261.149999999998</v>
      </c>
      <c r="L68" s="6">
        <f t="shared" si="18"/>
        <v>0</v>
      </c>
      <c r="M68" s="6">
        <f t="shared" si="18"/>
        <v>0</v>
      </c>
      <c r="N68" s="6">
        <f t="shared" si="18"/>
        <v>0</v>
      </c>
      <c r="O68" s="6">
        <f t="shared" si="18"/>
        <v>0</v>
      </c>
      <c r="P68" s="6">
        <f t="shared" si="18"/>
        <v>0</v>
      </c>
      <c r="Q68" s="6">
        <f t="shared" si="18"/>
        <v>0</v>
      </c>
      <c r="R68" s="6">
        <f t="shared" si="18"/>
        <v>0</v>
      </c>
      <c r="S68" s="6">
        <f t="shared" si="18"/>
        <v>0</v>
      </c>
      <c r="T68" s="6">
        <f t="shared" si="18"/>
        <v>0</v>
      </c>
      <c r="U68" s="6">
        <f t="shared" si="18"/>
        <v>0</v>
      </c>
      <c r="V68" s="6">
        <f t="shared" si="18"/>
        <v>0</v>
      </c>
      <c r="W68" s="6">
        <f t="shared" si="12"/>
        <v>157684.39000000001</v>
      </c>
    </row>
    <row r="69" spans="1:23" x14ac:dyDescent="0.2">
      <c r="A69" s="3" t="s">
        <v>85</v>
      </c>
      <c r="B69" s="6">
        <f t="shared" ref="B69:V69" si="19">((((((B16)+(B22))+(B25))+(B44))+(B47))+(B58))+(B68)</f>
        <v>0</v>
      </c>
      <c r="C69" s="6">
        <f t="shared" si="19"/>
        <v>0</v>
      </c>
      <c r="D69" s="6">
        <f t="shared" si="19"/>
        <v>0</v>
      </c>
      <c r="E69" s="6">
        <f t="shared" si="19"/>
        <v>0</v>
      </c>
      <c r="F69" s="6">
        <f t="shared" si="19"/>
        <v>19538.660000000003</v>
      </c>
      <c r="G69" s="6">
        <f t="shared" si="19"/>
        <v>61654.020000000004</v>
      </c>
      <c r="H69" s="6">
        <f t="shared" si="19"/>
        <v>57743.58</v>
      </c>
      <c r="I69" s="6">
        <f t="shared" si="19"/>
        <v>66764.3</v>
      </c>
      <c r="J69" s="6">
        <f t="shared" si="19"/>
        <v>59649.270000000004</v>
      </c>
      <c r="K69" s="6">
        <f t="shared" si="19"/>
        <v>24294.62</v>
      </c>
      <c r="L69" s="6">
        <f t="shared" si="19"/>
        <v>467.25</v>
      </c>
      <c r="M69" s="6">
        <f t="shared" si="19"/>
        <v>467.25</v>
      </c>
      <c r="N69" s="6">
        <f t="shared" si="19"/>
        <v>467.25</v>
      </c>
      <c r="O69" s="6">
        <f t="shared" si="19"/>
        <v>467.25</v>
      </c>
      <c r="P69" s="6">
        <f t="shared" si="19"/>
        <v>467.25</v>
      </c>
      <c r="Q69" s="6">
        <f t="shared" si="19"/>
        <v>467.25</v>
      </c>
      <c r="R69" s="6">
        <f t="shared" si="19"/>
        <v>250</v>
      </c>
      <c r="S69" s="6">
        <f t="shared" si="19"/>
        <v>0</v>
      </c>
      <c r="T69" s="6">
        <f t="shared" si="19"/>
        <v>0</v>
      </c>
      <c r="U69" s="6">
        <f t="shared" si="19"/>
        <v>0</v>
      </c>
      <c r="V69" s="6">
        <f t="shared" si="19"/>
        <v>0</v>
      </c>
      <c r="W69" s="6">
        <f t="shared" si="12"/>
        <v>292697.95</v>
      </c>
    </row>
    <row r="70" spans="1:23" x14ac:dyDescent="0.2">
      <c r="A70" s="3" t="s">
        <v>86</v>
      </c>
      <c r="B70" s="6">
        <f t="shared" ref="B70:V70" si="20">(B14)-(B69)</f>
        <v>0</v>
      </c>
      <c r="C70" s="6">
        <f t="shared" si="20"/>
        <v>0</v>
      </c>
      <c r="D70" s="6">
        <f t="shared" si="20"/>
        <v>0</v>
      </c>
      <c r="E70" s="6">
        <f t="shared" si="20"/>
        <v>0</v>
      </c>
      <c r="F70" s="6">
        <f t="shared" si="20"/>
        <v>-19538.660000000003</v>
      </c>
      <c r="G70" s="6">
        <f t="shared" si="20"/>
        <v>-60779.000000000007</v>
      </c>
      <c r="H70" s="6">
        <f t="shared" si="20"/>
        <v>-55978.91</v>
      </c>
      <c r="I70" s="6">
        <f t="shared" si="20"/>
        <v>-64439.950000000004</v>
      </c>
      <c r="J70" s="6">
        <f t="shared" si="20"/>
        <v>-57214.920000000006</v>
      </c>
      <c r="K70" s="6">
        <f t="shared" si="20"/>
        <v>-21904.02</v>
      </c>
      <c r="L70" s="6">
        <f t="shared" si="20"/>
        <v>1846.23</v>
      </c>
      <c r="M70" s="6">
        <f t="shared" si="20"/>
        <v>1923.35</v>
      </c>
      <c r="N70" s="6">
        <f t="shared" si="20"/>
        <v>1846.23</v>
      </c>
      <c r="O70" s="6">
        <f t="shared" si="20"/>
        <v>1923.35</v>
      </c>
      <c r="P70" s="6">
        <f t="shared" si="20"/>
        <v>1923.35</v>
      </c>
      <c r="Q70" s="6">
        <f t="shared" si="20"/>
        <v>1846.23</v>
      </c>
      <c r="R70" s="6">
        <f t="shared" si="20"/>
        <v>2140.6</v>
      </c>
      <c r="S70" s="6">
        <f t="shared" si="20"/>
        <v>2313.4700000000003</v>
      </c>
      <c r="T70" s="6">
        <f t="shared" si="20"/>
        <v>800.92</v>
      </c>
      <c r="U70" s="6">
        <f t="shared" si="20"/>
        <v>66.25</v>
      </c>
      <c r="V70" s="6">
        <f t="shared" si="20"/>
        <v>21.52</v>
      </c>
      <c r="W70" s="6">
        <f t="shared" si="12"/>
        <v>-263203.9600000002</v>
      </c>
    </row>
    <row r="71" spans="1:23" x14ac:dyDescent="0.2">
      <c r="A71" s="3" t="s">
        <v>87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2">
      <c r="A72" s="3" t="s">
        <v>88</v>
      </c>
      <c r="B72" s="4"/>
      <c r="C72" s="4"/>
      <c r="D72" s="4"/>
      <c r="E72" s="4"/>
      <c r="F72" s="4"/>
      <c r="G72" s="4"/>
      <c r="H72" s="5">
        <f>1256.42</f>
        <v>1256.42</v>
      </c>
      <c r="I72" s="5">
        <f>7888.63</f>
        <v>7888.63</v>
      </c>
      <c r="J72" s="5">
        <f>7494.67</f>
        <v>7494.67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>
        <f>((((((((((((((((((((B72)+(C72))+(D72))+(E72))+(F72))+(G72))+(H72))+(I72))+(J72))+(K72))+(L72))+(M72))+(N72))+(O72))+(P72))+(Q72))+(R72))+(S72))+(T72))+(U72))+(V72)</f>
        <v>16639.72</v>
      </c>
    </row>
    <row r="73" spans="1:23" x14ac:dyDescent="0.2">
      <c r="A73" s="3" t="s">
        <v>89</v>
      </c>
      <c r="B73" s="4"/>
      <c r="C73" s="4"/>
      <c r="D73" s="4"/>
      <c r="E73" s="4"/>
      <c r="F73" s="4"/>
      <c r="G73" s="5">
        <f>0.55</f>
        <v>0.55000000000000004</v>
      </c>
      <c r="H73" s="5">
        <f>17.04</f>
        <v>17.04</v>
      </c>
      <c r="I73" s="5">
        <f>1.07</f>
        <v>1.07</v>
      </c>
      <c r="J73" s="5">
        <f>0</f>
        <v>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>
        <f>((((((((((((((((((((B73)+(C73))+(D73))+(E73))+(F73))+(G73))+(H73))+(I73))+(J73))+(K73))+(L73))+(M73))+(N73))+(O73))+(P73))+(Q73))+(R73))+(S73))+(T73))+(U73))+(V73)</f>
        <v>18.66</v>
      </c>
    </row>
    <row r="74" spans="1:23" x14ac:dyDescent="0.2">
      <c r="A74" s="3" t="s">
        <v>90</v>
      </c>
      <c r="B74" s="4"/>
      <c r="C74" s="4"/>
      <c r="D74" s="4"/>
      <c r="E74" s="4"/>
      <c r="F74" s="5">
        <f>0.3</f>
        <v>0.3</v>
      </c>
      <c r="G74" s="5">
        <f>1518.38</f>
        <v>1518.38</v>
      </c>
      <c r="H74" s="5">
        <f>147.57</f>
        <v>147.57</v>
      </c>
      <c r="I74" s="5">
        <f>21.41</f>
        <v>21.41</v>
      </c>
      <c r="J74" s="5">
        <f>58.59</f>
        <v>58.59</v>
      </c>
      <c r="K74" s="5">
        <f>27.39</f>
        <v>27.39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>
        <f>((((((((((((((((((((B74)+(C74))+(D74))+(E74))+(F74))+(G74))+(H74))+(I74))+(J74))+(K74))+(L74))+(M74))+(N74))+(O74))+(P74))+(Q74))+(R74))+(S74))+(T74))+(U74))+(V74)</f>
        <v>1773.64</v>
      </c>
    </row>
    <row r="75" spans="1:23" x14ac:dyDescent="0.2">
      <c r="A75" s="3" t="s">
        <v>91</v>
      </c>
      <c r="B75" s="4"/>
      <c r="C75" s="4"/>
      <c r="D75" s="4"/>
      <c r="E75" s="4"/>
      <c r="F75" s="4"/>
      <c r="G75" s="4"/>
      <c r="H75" s="5">
        <f>3249.33</f>
        <v>3249.33</v>
      </c>
      <c r="I75" s="5">
        <f>0</f>
        <v>0</v>
      </c>
      <c r="J75" s="5">
        <f>36.01</f>
        <v>36.01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>
        <f>((((((((((((((((((((B75)+(C75))+(D75))+(E75))+(F75))+(G75))+(H75))+(I75))+(J75))+(K75))+(L75))+(M75))+(N75))+(O75))+(P75))+(Q75))+(R75))+(S75))+(T75))+(U75))+(V75)</f>
        <v>3285.34</v>
      </c>
    </row>
    <row r="76" spans="1:23" x14ac:dyDescent="0.2">
      <c r="A76" s="3" t="s">
        <v>92</v>
      </c>
      <c r="B76" s="6">
        <f t="shared" ref="B76:V76" si="21">(((B72)+(B73))+(B74))+(B75)</f>
        <v>0</v>
      </c>
      <c r="C76" s="6">
        <f t="shared" si="21"/>
        <v>0</v>
      </c>
      <c r="D76" s="6">
        <f t="shared" si="21"/>
        <v>0</v>
      </c>
      <c r="E76" s="6">
        <f t="shared" si="21"/>
        <v>0</v>
      </c>
      <c r="F76" s="6">
        <f t="shared" si="21"/>
        <v>0.3</v>
      </c>
      <c r="G76" s="6">
        <f t="shared" si="21"/>
        <v>1518.93</v>
      </c>
      <c r="H76" s="6">
        <f t="shared" si="21"/>
        <v>4670.3599999999997</v>
      </c>
      <c r="I76" s="6">
        <f t="shared" si="21"/>
        <v>7911.11</v>
      </c>
      <c r="J76" s="6">
        <f t="shared" si="21"/>
        <v>7589.27</v>
      </c>
      <c r="K76" s="6">
        <f t="shared" si="21"/>
        <v>27.39</v>
      </c>
      <c r="L76" s="6">
        <f t="shared" si="21"/>
        <v>0</v>
      </c>
      <c r="M76" s="6">
        <f t="shared" si="21"/>
        <v>0</v>
      </c>
      <c r="N76" s="6">
        <f t="shared" si="21"/>
        <v>0</v>
      </c>
      <c r="O76" s="6">
        <f t="shared" si="21"/>
        <v>0</v>
      </c>
      <c r="P76" s="6">
        <f t="shared" si="21"/>
        <v>0</v>
      </c>
      <c r="Q76" s="6">
        <f t="shared" si="21"/>
        <v>0</v>
      </c>
      <c r="R76" s="6">
        <f t="shared" si="21"/>
        <v>0</v>
      </c>
      <c r="S76" s="6">
        <f t="shared" si="21"/>
        <v>0</v>
      </c>
      <c r="T76" s="6">
        <f t="shared" si="21"/>
        <v>0</v>
      </c>
      <c r="U76" s="6">
        <f t="shared" si="21"/>
        <v>0</v>
      </c>
      <c r="V76" s="6">
        <f t="shared" si="21"/>
        <v>0</v>
      </c>
      <c r="W76" s="6">
        <f>((((((((((((((((((((B76)+(C76))+(D76))+(E76))+(F76))+(G76))+(H76))+(I76))+(J76))+(K76))+(L76))+(M76))+(N76))+(O76))+(P76))+(Q76))+(R76))+(S76))+(T76))+(U76))+(V76)</f>
        <v>21717.360000000001</v>
      </c>
    </row>
    <row r="77" spans="1:23" x14ac:dyDescent="0.2">
      <c r="A77" s="3" t="s">
        <v>93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x14ac:dyDescent="0.2">
      <c r="A78" s="3" t="s">
        <v>94</v>
      </c>
      <c r="B78" s="4"/>
      <c r="C78" s="4"/>
      <c r="D78" s="4"/>
      <c r="E78" s="4"/>
      <c r="F78" s="4"/>
      <c r="G78" s="4"/>
      <c r="H78" s="4"/>
      <c r="I78" s="5">
        <f>10</f>
        <v>10</v>
      </c>
      <c r="J78" s="5">
        <f>1020.5</f>
        <v>1020.5</v>
      </c>
      <c r="K78" s="5">
        <f>300</f>
        <v>300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>
        <f>((((((((((((((((((((B78)+(C78))+(D78))+(E78))+(F78))+(G78))+(H78))+(I78))+(J78))+(K78))+(L78))+(M78))+(N78))+(O78))+(P78))+(Q78))+(R78))+(S78))+(T78))+(U78))+(V78)</f>
        <v>1330.5</v>
      </c>
    </row>
    <row r="79" spans="1:23" x14ac:dyDescent="0.2">
      <c r="A79" s="3" t="s">
        <v>95</v>
      </c>
      <c r="B79" s="6">
        <f t="shared" ref="B79:V79" si="22">B78</f>
        <v>0</v>
      </c>
      <c r="C79" s="6">
        <f t="shared" si="22"/>
        <v>0</v>
      </c>
      <c r="D79" s="6">
        <f t="shared" si="22"/>
        <v>0</v>
      </c>
      <c r="E79" s="6">
        <f t="shared" si="22"/>
        <v>0</v>
      </c>
      <c r="F79" s="6">
        <f t="shared" si="22"/>
        <v>0</v>
      </c>
      <c r="G79" s="6">
        <f t="shared" si="22"/>
        <v>0</v>
      </c>
      <c r="H79" s="6">
        <f t="shared" si="22"/>
        <v>0</v>
      </c>
      <c r="I79" s="6">
        <f t="shared" si="22"/>
        <v>10</v>
      </c>
      <c r="J79" s="6">
        <f t="shared" si="22"/>
        <v>1020.5</v>
      </c>
      <c r="K79" s="6">
        <f t="shared" si="22"/>
        <v>300</v>
      </c>
      <c r="L79" s="6">
        <f t="shared" si="22"/>
        <v>0</v>
      </c>
      <c r="M79" s="6">
        <f t="shared" si="22"/>
        <v>0</v>
      </c>
      <c r="N79" s="6">
        <f t="shared" si="22"/>
        <v>0</v>
      </c>
      <c r="O79" s="6">
        <f t="shared" si="22"/>
        <v>0</v>
      </c>
      <c r="P79" s="6">
        <f t="shared" si="22"/>
        <v>0</v>
      </c>
      <c r="Q79" s="6">
        <f t="shared" si="22"/>
        <v>0</v>
      </c>
      <c r="R79" s="6">
        <f t="shared" si="22"/>
        <v>0</v>
      </c>
      <c r="S79" s="6">
        <f t="shared" si="22"/>
        <v>0</v>
      </c>
      <c r="T79" s="6">
        <f t="shared" si="22"/>
        <v>0</v>
      </c>
      <c r="U79" s="6">
        <f t="shared" si="22"/>
        <v>0</v>
      </c>
      <c r="V79" s="6">
        <f t="shared" si="22"/>
        <v>0</v>
      </c>
      <c r="W79" s="6">
        <f>((((((((((((((((((((B79)+(C79))+(D79))+(E79))+(F79))+(G79))+(H79))+(I79))+(J79))+(K79))+(L79))+(M79))+(N79))+(O79))+(P79))+(Q79))+(R79))+(S79))+(T79))+(U79))+(V79)</f>
        <v>1330.5</v>
      </c>
    </row>
    <row r="80" spans="1:23" x14ac:dyDescent="0.2">
      <c r="A80" s="3" t="s">
        <v>96</v>
      </c>
      <c r="B80" s="6">
        <f t="shared" ref="B80:V80" si="23">(B76)-(B79)</f>
        <v>0</v>
      </c>
      <c r="C80" s="6">
        <f t="shared" si="23"/>
        <v>0</v>
      </c>
      <c r="D80" s="6">
        <f t="shared" si="23"/>
        <v>0</v>
      </c>
      <c r="E80" s="6">
        <f t="shared" si="23"/>
        <v>0</v>
      </c>
      <c r="F80" s="6">
        <f t="shared" si="23"/>
        <v>0.3</v>
      </c>
      <c r="G80" s="6">
        <f t="shared" si="23"/>
        <v>1518.93</v>
      </c>
      <c r="H80" s="6">
        <f t="shared" si="23"/>
        <v>4670.3599999999997</v>
      </c>
      <c r="I80" s="6">
        <f t="shared" si="23"/>
        <v>7901.11</v>
      </c>
      <c r="J80" s="6">
        <f t="shared" si="23"/>
        <v>6568.77</v>
      </c>
      <c r="K80" s="6">
        <f t="shared" si="23"/>
        <v>-272.61</v>
      </c>
      <c r="L80" s="6">
        <f t="shared" si="23"/>
        <v>0</v>
      </c>
      <c r="M80" s="6">
        <f t="shared" si="23"/>
        <v>0</v>
      </c>
      <c r="N80" s="6">
        <f t="shared" si="23"/>
        <v>0</v>
      </c>
      <c r="O80" s="6">
        <f t="shared" si="23"/>
        <v>0</v>
      </c>
      <c r="P80" s="6">
        <f t="shared" si="23"/>
        <v>0</v>
      </c>
      <c r="Q80" s="6">
        <f t="shared" si="23"/>
        <v>0</v>
      </c>
      <c r="R80" s="6">
        <f t="shared" si="23"/>
        <v>0</v>
      </c>
      <c r="S80" s="6">
        <f t="shared" si="23"/>
        <v>0</v>
      </c>
      <c r="T80" s="6">
        <f t="shared" si="23"/>
        <v>0</v>
      </c>
      <c r="U80" s="6">
        <f t="shared" si="23"/>
        <v>0</v>
      </c>
      <c r="V80" s="6">
        <f t="shared" si="23"/>
        <v>0</v>
      </c>
      <c r="W80" s="6">
        <f>((((((((((((((((((((B80)+(C80))+(D80))+(E80))+(F80))+(G80))+(H80))+(I80))+(J80))+(K80))+(L80))+(M80))+(N80))+(O80))+(P80))+(Q80))+(R80))+(S80))+(T80))+(U80))+(V80)</f>
        <v>20386.86</v>
      </c>
    </row>
    <row r="81" spans="1:23" x14ac:dyDescent="0.2">
      <c r="A81" s="3" t="s">
        <v>97</v>
      </c>
      <c r="B81" s="7">
        <f t="shared" ref="B81:V81" si="24">(B70)+(B80)</f>
        <v>0</v>
      </c>
      <c r="C81" s="7">
        <f t="shared" si="24"/>
        <v>0</v>
      </c>
      <c r="D81" s="7">
        <f t="shared" si="24"/>
        <v>0</v>
      </c>
      <c r="E81" s="7">
        <f t="shared" si="24"/>
        <v>0</v>
      </c>
      <c r="F81" s="7">
        <f t="shared" si="24"/>
        <v>-19538.360000000004</v>
      </c>
      <c r="G81" s="7">
        <f t="shared" si="24"/>
        <v>-59260.070000000007</v>
      </c>
      <c r="H81" s="7">
        <f t="shared" si="24"/>
        <v>-51308.55</v>
      </c>
      <c r="I81" s="7">
        <f t="shared" si="24"/>
        <v>-56538.840000000004</v>
      </c>
      <c r="J81" s="7">
        <f t="shared" si="24"/>
        <v>-50646.150000000009</v>
      </c>
      <c r="K81" s="7">
        <f t="shared" si="24"/>
        <v>-22176.63</v>
      </c>
      <c r="L81" s="7">
        <f t="shared" si="24"/>
        <v>1846.23</v>
      </c>
      <c r="M81" s="7">
        <f t="shared" si="24"/>
        <v>1923.35</v>
      </c>
      <c r="N81" s="7">
        <f t="shared" si="24"/>
        <v>1846.23</v>
      </c>
      <c r="O81" s="7">
        <f t="shared" si="24"/>
        <v>1923.35</v>
      </c>
      <c r="P81" s="7">
        <f t="shared" si="24"/>
        <v>1923.35</v>
      </c>
      <c r="Q81" s="7">
        <f t="shared" si="24"/>
        <v>1846.23</v>
      </c>
      <c r="R81" s="7">
        <f t="shared" si="24"/>
        <v>2140.6</v>
      </c>
      <c r="S81" s="7">
        <f t="shared" si="24"/>
        <v>2313.4700000000003</v>
      </c>
      <c r="T81" s="7">
        <f t="shared" si="24"/>
        <v>800.92</v>
      </c>
      <c r="U81" s="7">
        <f t="shared" si="24"/>
        <v>66.25</v>
      </c>
      <c r="V81" s="7">
        <f t="shared" si="24"/>
        <v>21.52</v>
      </c>
      <c r="W81" s="7">
        <f>((((((((((((((((((((B81)+(C81))+(D81))+(E81))+(F81))+(G81))+(H81))+(I81))+(J81))+(K81))+(L81))+(M81))+(N81))+(O81))+(P81))+(Q81))+(R81))+(S81))+(T81))+(U81))+(V81)</f>
        <v>-242817.09999999998</v>
      </c>
    </row>
    <row r="82" spans="1:23" x14ac:dyDescent="0.2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5" spans="1:23" x14ac:dyDescent="0.2">
      <c r="A85" s="8" t="s">
        <v>98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</sheetData>
  <mergeCells count="4">
    <mergeCell ref="A85:W85"/>
    <mergeCell ref="A1:W1"/>
    <mergeCell ref="A2:W2"/>
    <mergeCell ref="A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Jessica McKellar</cp:lastModifiedBy>
  <dcterms:created xsi:type="dcterms:W3CDTF">2025-03-31T04:44:49Z</dcterms:created>
  <dcterms:modified xsi:type="dcterms:W3CDTF">2025-04-01T04:41:38Z</dcterms:modified>
</cp:coreProperties>
</file>